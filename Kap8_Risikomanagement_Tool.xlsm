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3D1A710C-6663-3D7B-7F91-EC182F24A4BC}"/>
  <workbookPr codeName="ThisWorkbook"/>
  <mc:AlternateContent xmlns:mc="http://schemas.openxmlformats.org/markup-compatibility/2006">
    <mc:Choice Requires="x15">
      <x15ac:absPath xmlns:x15ac="http://schemas.microsoft.com/office/spreadsheetml/2010/11/ac" url="https://swisscom-my.sharepoint.com/personal/dany_ambuehl1_swisscom_com/Documents/Schule/ITCNE23-SEM-lll/"/>
    </mc:Choice>
  </mc:AlternateContent>
  <xr:revisionPtr revIDLastSave="195" documentId="8_{7EB99972-558C-487B-B5B0-A82AF66B772C}" xr6:coauthVersionLast="47" xr6:coauthVersionMax="47" xr10:uidLastSave="{14DA3D3B-0840-44CF-A755-0F803A41E346}"/>
  <bookViews>
    <workbookView xWindow="28680" yWindow="-3765" windowWidth="38640" windowHeight="21120" xr2:uid="{00000000-000D-0000-FFFF-FFFF00000000}"/>
  </bookViews>
  <sheets>
    <sheet name="Deckblatt" sheetId="16" r:id="rId1"/>
    <sheet name="Hinweise" sheetId="15" r:id="rId2"/>
    <sheet name="Risikoliste" sheetId="21" r:id="rId3"/>
    <sheet name="Risikomatrix VOR Maßnahme" sheetId="22" r:id="rId4"/>
    <sheet name="Risikomatrix NACH Maßnahme" sheetId="23" r:id="rId5"/>
    <sheet name="(Stammdaten)" sheetId="12" r:id="rId6"/>
  </sheets>
  <externalReferences>
    <externalReference r:id="rId7"/>
    <externalReference r:id="rId8"/>
  </externalReferences>
  <definedNames>
    <definedName name="_xlnm._FilterDatabase" localSheetId="2" hidden="1">Risikoliste!$A$3:$AH$3</definedName>
    <definedName name="Abnahmestatus" localSheetId="0">'[1](Stammdaten)'!$E$9:$E$12</definedName>
    <definedName name="Abnahmestatus">'(Stammdaten)'!$F$10:$F$13</definedName>
    <definedName name="Auswirkung">'(Stammdaten)'!$D$10:$D$14</definedName>
    <definedName name="janein" localSheetId="0">'[1](Stammdaten)'!$D$9:$D$10</definedName>
    <definedName name="janein">'(Stammdaten)'!$E$10:$E$11</definedName>
    <definedName name="Nummer" localSheetId="0">#REF!</definedName>
    <definedName name="Nummer" localSheetId="2">#REF!</definedName>
    <definedName name="Nummer" localSheetId="4">#REF!</definedName>
    <definedName name="Nummer" localSheetId="3">#REF!</definedName>
    <definedName name="Nummer">#REF!</definedName>
    <definedName name="_xlnm.Print_Area" localSheetId="5">'(Stammdaten)'!$B$1:$H$15</definedName>
    <definedName name="_xlnm.Print_Area" localSheetId="0">Deckblatt!$A$1:$C$13</definedName>
    <definedName name="Referenz" localSheetId="0">#REF!</definedName>
    <definedName name="Referenz" localSheetId="2">#REF!</definedName>
    <definedName name="Referenz" localSheetId="4">#REF!</definedName>
    <definedName name="Referenz" localSheetId="3">#REF!</definedName>
    <definedName name="Referenz">#REF!</definedName>
    <definedName name="Risikostatus">'(Stammdaten)'!$G$10:$G$13</definedName>
    <definedName name="Schadenshöhe" localSheetId="2">'[2]1-Risikoprofil_Deckblatt'!#REF!</definedName>
    <definedName name="Schadenshöhe" localSheetId="4">'[2]1-Risikoprofil_Deckblatt'!#REF!</definedName>
    <definedName name="Schadenshöhe" localSheetId="3">'[2]1-Risikoprofil_Deckblatt'!#REF!</definedName>
    <definedName name="Schadenshöhe">'[2]1-Risikoprofil_Deckblatt'!#REF!</definedName>
    <definedName name="Status">'(Stammdaten)'!$E$10:$E$13</definedName>
    <definedName name="Teilprojekt" localSheetId="0">'[1](Stammdaten)'!$C$9:$C$12</definedName>
    <definedName name="Teilprojekt">'(Stammdaten)'!$D$10:$D$13</definedName>
    <definedName name="Thema">'(Stammdaten)'!$F$10:$F$15</definedName>
    <definedName name="Verpflichtung" localSheetId="0">'[1](Stammdaten)'!$F$9:$F$10</definedName>
    <definedName name="Verpflichtung">'(Stammdaten)'!$G$10:$G$11</definedName>
    <definedName name="Vertragsstatus" localSheetId="0">'[1](Stammdaten)'!$B$9:$B$11</definedName>
    <definedName name="Vertragsstatus">'(Stammdaten)'!$C$10:$C$12</definedName>
    <definedName name="VReferenz" localSheetId="0">#REF!</definedName>
    <definedName name="VReferenz" localSheetId="2">#REF!</definedName>
    <definedName name="VReferenz" localSheetId="4">#REF!</definedName>
    <definedName name="VReferenz" localSheetId="3">#REF!</definedName>
    <definedName name="VReferenz">#REF!</definedName>
    <definedName name="Wahrscheinlichkeit">'(Stammdaten)'!$C$10:$C$14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2" i="21" l="1"/>
  <c r="AF12" i="21"/>
  <c r="AE12" i="21"/>
  <c r="O12" i="21"/>
  <c r="N12" i="21"/>
  <c r="M12" i="21"/>
  <c r="AG11" i="21"/>
  <c r="AF11" i="21"/>
  <c r="AE11" i="21"/>
  <c r="O11" i="21"/>
  <c r="N11" i="21"/>
  <c r="M11" i="21"/>
  <c r="AG10" i="21"/>
  <c r="AF10" i="21"/>
  <c r="AE10" i="21"/>
  <c r="O10" i="21"/>
  <c r="N10" i="21"/>
  <c r="M10" i="21"/>
  <c r="AF4" i="21"/>
  <c r="AE5" i="21"/>
  <c r="AE6" i="21"/>
  <c r="AE7" i="21"/>
  <c r="AE8" i="21"/>
  <c r="AE9" i="21"/>
  <c r="AG9" i="21" l="1"/>
  <c r="AF9" i="21"/>
  <c r="AG8" i="21"/>
  <c r="AF8" i="21"/>
  <c r="AG7" i="21"/>
  <c r="AF7" i="21"/>
  <c r="AG6" i="21"/>
  <c r="AF6" i="21"/>
  <c r="AG5" i="21"/>
  <c r="AF5" i="21"/>
  <c r="AG4" i="21"/>
  <c r="AE4" i="21"/>
  <c r="M5" i="21"/>
  <c r="M6" i="21"/>
  <c r="M7" i="21"/>
  <c r="M8" i="21"/>
  <c r="M9" i="21"/>
  <c r="M4" i="21"/>
  <c r="E4" i="23" l="1"/>
  <c r="G2" i="23"/>
  <c r="G4" i="23"/>
  <c r="F3" i="23"/>
  <c r="F6" i="23"/>
  <c r="C6" i="23"/>
  <c r="E5" i="23"/>
  <c r="C5" i="23"/>
  <c r="C4" i="23"/>
  <c r="G5" i="23"/>
  <c r="F4" i="23"/>
  <c r="D3" i="23"/>
  <c r="C2" i="23"/>
  <c r="G6" i="23"/>
  <c r="F2" i="23"/>
  <c r="G3" i="23"/>
  <c r="E2" i="23"/>
  <c r="D6" i="23"/>
  <c r="E6" i="23"/>
  <c r="D5" i="23"/>
  <c r="D4" i="23"/>
  <c r="C3" i="23"/>
  <c r="F5" i="23"/>
  <c r="E3" i="23"/>
  <c r="D2" i="23"/>
  <c r="O6" i="21"/>
  <c r="O7" i="21"/>
  <c r="O8" i="21"/>
  <c r="O9" i="21"/>
  <c r="O4" i="21"/>
  <c r="O5" i="21"/>
  <c r="N4" i="21"/>
  <c r="N6" i="21"/>
  <c r="N7" i="21"/>
  <c r="N8" i="21"/>
  <c r="N9" i="21"/>
  <c r="N5" i="21"/>
  <c r="D6" i="22" l="1"/>
  <c r="I5" i="23"/>
  <c r="D2" i="22"/>
  <c r="D4" i="22"/>
  <c r="D3" i="22"/>
  <c r="G4" i="22"/>
  <c r="D5" i="22"/>
  <c r="C2" i="22"/>
  <c r="G6" i="22"/>
  <c r="F6" i="22"/>
  <c r="F5" i="22"/>
  <c r="F4" i="22"/>
  <c r="F3" i="22"/>
  <c r="F2" i="22"/>
  <c r="G2" i="22"/>
  <c r="G5" i="22"/>
  <c r="G3" i="22"/>
  <c r="E6" i="22"/>
  <c r="C6" i="22"/>
  <c r="E5" i="22"/>
  <c r="C5" i="22"/>
  <c r="E4" i="22"/>
  <c r="C4" i="22"/>
  <c r="E3" i="22"/>
  <c r="C3" i="22"/>
  <c r="E2" i="22"/>
  <c r="I6" i="23" l="1"/>
  <c r="I4" i="23"/>
  <c r="I6" i="22"/>
  <c r="I5" i="22"/>
  <c r="I4" i="22"/>
</calcChain>
</file>

<file path=xl/sharedStrings.xml><?xml version="1.0" encoding="utf-8"?>
<sst xmlns="http://schemas.openxmlformats.org/spreadsheetml/2006/main" count="431" uniqueCount="223">
  <si>
    <t>==&gt;</t>
  </si>
  <si>
    <t>Allgemeine Hinweise</t>
  </si>
  <si>
    <t>In Verbindung stehende Dokumente</t>
  </si>
  <si>
    <t>Nutzungsanweisung</t>
  </si>
  <si>
    <t>Verwendungshinweise</t>
  </si>
  <si>
    <t>Datum</t>
  </si>
  <si>
    <t>– Vorlage –</t>
  </si>
  <si>
    <t>Sp.</t>
  </si>
  <si>
    <t>Name</t>
  </si>
  <si>
    <t>Datentyp</t>
  </si>
  <si>
    <t>Herkunft</t>
  </si>
  <si>
    <t>Beschreibung</t>
  </si>
  <si>
    <t>Nr.</t>
  </si>
  <si>
    <t>Zahl</t>
  </si>
  <si>
    <t>automatisch</t>
  </si>
  <si>
    <t>Thema/Kategorie</t>
  </si>
  <si>
    <t>manuell</t>
  </si>
  <si>
    <t>Kurzbezeichnung</t>
  </si>
  <si>
    <t>Text</t>
  </si>
  <si>
    <t>Risikobeschreibung</t>
  </si>
  <si>
    <t>Datum/Text</t>
  </si>
  <si>
    <t>Wann und von wem wurde das Risiko erfasst?</t>
  </si>
  <si>
    <t>Betrifft</t>
  </si>
  <si>
    <t>Wahrscheinlichkeit</t>
  </si>
  <si>
    <t>Risikoklasse</t>
  </si>
  <si>
    <t>Buchstabe</t>
  </si>
  <si>
    <t>Risikofeld</t>
  </si>
  <si>
    <t>Nächste Überprüfung</t>
  </si>
  <si>
    <t>Datum der nächsten Vorlage/Überprüfung des Risikos</t>
  </si>
  <si>
    <t>Risikoliste</t>
  </si>
  <si>
    <t>Risiko</t>
  </si>
  <si>
    <t>Erfasst am</t>
  </si>
  <si>
    <t>Auswirkung</t>
  </si>
  <si>
    <t>Eintrittswahrscheinlichkeit</t>
  </si>
  <si>
    <t>Legende Eintrittswahrscheinlichkeit</t>
  </si>
  <si>
    <t>10% = Sehr unwahrscheinlich (1%–20%)</t>
  </si>
  <si>
    <t>30% = Unwahrscheinlich (21%–40%)</t>
  </si>
  <si>
    <t>50% = Wahrscheinlich (41%–60%)</t>
  </si>
  <si>
    <t>70% = Höchstwahrscheinlich (61%–80%)</t>
  </si>
  <si>
    <t xml:space="preserve">Legende Auswirkung (Zeit, Kosten, Qualität, Funktionalität) </t>
  </si>
  <si>
    <t>1 = zu vernachlässigen</t>
  </si>
  <si>
    <t>2 = unkritisch</t>
  </si>
  <si>
    <t>3 = in Bereichen kritisch</t>
  </si>
  <si>
    <t>4 = kritisch</t>
  </si>
  <si>
    <t>5 = projektgefährdend</t>
  </si>
  <si>
    <t>Risikostatus</t>
  </si>
  <si>
    <t>Politik/Strategie</t>
  </si>
  <si>
    <t>aktiv</t>
  </si>
  <si>
    <t>Fachlichkeit</t>
  </si>
  <si>
    <t>verworfen</t>
  </si>
  <si>
    <t>Organisation</t>
  </si>
  <si>
    <t>zurückgestellt</t>
  </si>
  <si>
    <t>Technik</t>
  </si>
  <si>
    <t>beseitigt</t>
  </si>
  <si>
    <t>Vertragsmanagement</t>
  </si>
  <si>
    <t xml:space="preserve">90% = Fast sicher (81%–99%) </t>
  </si>
  <si>
    <t>Sonstiges</t>
  </si>
  <si>
    <t>Kurzbe-zeichnung</t>
  </si>
  <si>
    <t xml:space="preserve">Wenn ein neues Risiko identifiziert wird, muss dieses in die Risikoliste aufgenommen werden. </t>
  </si>
  <si>
    <t>In regelmäßigen Abständen bzw. vor jeder größeren Bearbeitung des Dokuments (z.B. bei einem Audit) sollte eine neue Dateiversion angelegt werden, um die Entwicklung der Risiken im Zeitverlauf nachvollziehen zu können.</t>
  </si>
  <si>
    <t>Listenauswahl</t>
  </si>
  <si>
    <t>Beschreibung des Risikos. Diese sollte möglichst prägnant sein, aber detailliert genug, um das Risiko zu verstehen.</t>
  </si>
  <si>
    <t>A</t>
  </si>
  <si>
    <t>B</t>
  </si>
  <si>
    <t>C</t>
  </si>
  <si>
    <t>D</t>
  </si>
  <si>
    <t>E/F</t>
  </si>
  <si>
    <t>G</t>
  </si>
  <si>
    <t>Auflistung aller Projektrollen bzw. Projektbereiche, die entweder vom Risikoeintritt betroffen sind oder an Gegenmaßnahmen mitwirken müssen.</t>
  </si>
  <si>
    <t>Eintrittswahr-scheinlichkeit</t>
  </si>
  <si>
    <t>H</t>
  </si>
  <si>
    <t>I</t>
  </si>
  <si>
    <t>J</t>
  </si>
  <si>
    <t>K</t>
  </si>
  <si>
    <t>L</t>
  </si>
  <si>
    <t>M</t>
  </si>
  <si>
    <t>N</t>
  </si>
  <si>
    <t>Um eine neue Wertliste zu erstellen, tragen Sie - analog zu den bereits bestehenden Wertlisten - auf diesem Stammdatenblatt die entsprechenden Informationen (Überschrift und Auswahlmöglichkeiten) ein. Markieren Sie anschließend die zur Wertliste gehörenden Auswahlmöglichkeiten (die Überschrift nicht mit markieren!) und tippen Sie in das Namenfeld den Namen ein, den Sie der Wertliste geben wollen (der Name wird in der Regel der Überschrift entsprechen). Das Namensfeld ist das weiße Feld über der Spalte A, links neben der Bearbeitungsleiste, in dem in der Regel der Name der obersten ausgewählten Zelle angezeigt wird. Alternativ können Sie auch den Excel-Namensmanager benutzen, um den zu einer Wertliste gehörenden Auswahlmöglichkeiten einen gemeinsamen Namen zu geben (Excel-Menüleiste "Formeln" --&gt; Unterabschnitt "Definierte Namen" --&gt; Option "Namen definieren").</t>
  </si>
  <si>
    <t xml:space="preserve">Bestehende Wertlisten können um Elemente ergänzt / verkürzt werden, indem in der Excel-Menüleiste (Reiter "Start" --&gt; Unterabschnitt "Zellen") die Option "Einfügen" --&gt; "Zellen einfügen" bzw. "Löschen" --&gt; "Zellen löschen" gewählt wird und man die Aktion mit der Option "Zellen nach unten verschieben" (zum Einfügen) / "Zellen nach oben verschieben" (zum Löschen) bestätigt.
</t>
  </si>
  <si>
    <t xml:space="preserve">Um auf Basis einer erstellten Wertliste ein Dropdown-Auswahlfeld zu erstellen, gehen Sie folgendermaßen vor: gehen Sie auf das jeweilige Arbeitsblatt --&gt; wählen Sie dort die Zelle(n) aus, bei denen die Dropdown-Auswahl erscheinen soll --&gt; gehen Sie in der Excel-Menüleiste auf den Reiter "Daten" --&gt; klicken Sie dort im Unterabschnitt "Datentools" auf das Feld "Datenüberprüfung". Wählen Sie im Abschnitt "Einstellungen --&gt; Gültigkeitskriterien" für das Feld "Zulassen" die Option "Liste" aus. Geben Sie anschließend im Feld "Quelle" ein Gleich-Zeichen (=) ein, gefolgt vom Namen, den Sie der Wertliste zugewiesen haben (z.B. "Status", also "=Status"). Klicken Sie dann auf OK. In den markierten Zellen erscheinen nun Dropdown-Auswahlfelder mit den für die Wertliste "Status" hinterlegten Auswahlmöglichkeiten.
</t>
  </si>
  <si>
    <t>Schritte zur regelmäßigen Dokumentenpflege</t>
  </si>
  <si>
    <r>
      <rPr>
        <b/>
        <sz val="11"/>
        <rFont val="Calibri"/>
        <family val="2"/>
        <scheme val="minor"/>
      </rPr>
      <t>Tabellenblatt "Stammdaten":</t>
    </r>
    <r>
      <rPr>
        <sz val="11"/>
        <rFont val="Calibri"/>
        <family val="2"/>
        <scheme val="minor"/>
      </rPr>
      <t xml:space="preserve"> Bei der Ersterstellung  werden die Inhalte der Stammdaten an die eigenen Bedürfnisse angepasst.</t>
    </r>
  </si>
  <si>
    <r>
      <rPr>
        <b/>
        <sz val="11"/>
        <rFont val="Calibri"/>
        <family val="2"/>
        <scheme val="minor"/>
      </rPr>
      <t xml:space="preserve">Tabellenblättern "Risikoliste" und "Risikomatrix" : </t>
    </r>
    <r>
      <rPr>
        <sz val="11"/>
        <rFont val="Calibri"/>
        <family val="2"/>
        <scheme val="minor"/>
      </rPr>
      <t xml:space="preserve"> Zellen, die Formeln enthalten, sind gesperrt. Bei Bedarf (z.B. um neue Zeilen/Spalten einzufügen) kann die Sperrung wie folgt aufgehoben werden: in der Arbeitsblatt-Leiste unten Rechtsklick auf den entsprechenden Reiter (Risikoliste / Risikomatrix)  --&gt; Klick auf "Blattschutz aufheben".  Es wird empfohlen, den Blattschutz nach Durchführung der gewünschten Änderungen wieder zu aktivieren: in der Arbeitsblatt-Leiste unten Rechtsklick auf den entsprechenden Reiter (Risikoliste / Risikomatrix)  --&gt; Klick auf "Blatt schützen".</t>
    </r>
  </si>
  <si>
    <t>Feldbeschreibung Tabellenblatt "Risikoliste"</t>
  </si>
  <si>
    <t>Das Stammdatenblatt ist für die Funktionalität des Dokuments erforderlich. Es enthält sogenannte "Wertlisten". Über diese Wertlisten wird definiert, welche Auswahlmöglichkeiten in Dropdown-Auswahlfeldern in anderen Arbeitsblättern zur Verfügung stehen (z.B. sind hier für die Wertliste "Status" die Auswahlmöglichkeiten "aktiv", "verworfen", "zurückgestellt" und "beseitigt" hinterlegt).</t>
  </si>
  <si>
    <t>Mögliche Schäden /Schadensausmaß</t>
  </si>
  <si>
    <t>Erwarteter finanzieller Schaden</t>
  </si>
  <si>
    <t>Erwartungs-wert</t>
  </si>
  <si>
    <t>Aktivitäten</t>
  </si>
  <si>
    <t>Gegenmaßnahme</t>
  </si>
  <si>
    <t>Termin für Umsetzung</t>
  </si>
  <si>
    <t>Eskalition erforderlich</t>
  </si>
  <si>
    <t>Maßnahme abgeschlossen</t>
  </si>
  <si>
    <t>Entscheidung</t>
  </si>
  <si>
    <t>Ja</t>
  </si>
  <si>
    <t>Nein</t>
  </si>
  <si>
    <t>Voraussichtlicher Eintrittszeitpunkt</t>
  </si>
  <si>
    <t>Risiko nach Maßnahme beseitigt</t>
  </si>
  <si>
    <t>Maßnahme erfolgreich</t>
  </si>
  <si>
    <t>Risikomanagement-Tool</t>
  </si>
  <si>
    <r>
      <t xml:space="preserve">Der Risikostatus beschreibt den Status des Risikos insgesamt:
</t>
    </r>
    <r>
      <rPr>
        <b/>
        <sz val="11"/>
        <rFont val="Calibri"/>
        <family val="2"/>
        <scheme val="minor"/>
      </rPr>
      <t>AKTIV</t>
    </r>
    <r>
      <rPr>
        <sz val="11"/>
        <rFont val="Calibri"/>
        <family val="2"/>
        <scheme val="minor"/>
      </rPr>
      <t xml:space="preserve"> = Das Risiko stellt eine aktive Bedrohung für das Projekt dar.
</t>
    </r>
    <r>
      <rPr>
        <b/>
        <sz val="11"/>
        <rFont val="Calibri"/>
        <family val="2"/>
        <scheme val="minor"/>
      </rPr>
      <t>VERWORFEN</t>
    </r>
    <r>
      <rPr>
        <sz val="11"/>
        <rFont val="Calibri"/>
        <family val="2"/>
        <scheme val="minor"/>
      </rPr>
      <t xml:space="preserve"> = Das Risiko wurde als irrelevant verworfen und wird auch in Zukunft keine Rolle mehr spielen.
</t>
    </r>
    <r>
      <rPr>
        <b/>
        <sz val="11"/>
        <rFont val="Calibri"/>
        <family val="2"/>
        <scheme val="minor"/>
      </rPr>
      <t>ZURÜCKGESTELLT</t>
    </r>
    <r>
      <rPr>
        <sz val="11"/>
        <rFont val="Calibri"/>
        <family val="2"/>
        <scheme val="minor"/>
      </rPr>
      <t xml:space="preserve"> = Das Risiko ist momentan inaktiv, kann aber in Zukunft unter bestimmten Rahmenbedingungen noch einmal aktiv werden (dieser Statustyp ist eher selten zu verwenden; Risiken sollten bevorzugt mit einer geringen Eintrittswahrscheinlichkeit eingestuft werden, um sie nicht komplett aus dem Fokus zu verlieren).
</t>
    </r>
    <r>
      <rPr>
        <b/>
        <sz val="11"/>
        <rFont val="Calibri"/>
        <family val="2"/>
        <scheme val="minor"/>
      </rPr>
      <t>BESEITIGT</t>
    </r>
    <r>
      <rPr>
        <sz val="11"/>
        <rFont val="Calibri"/>
        <family val="2"/>
        <scheme val="minor"/>
      </rPr>
      <t xml:space="preserve"> = Das Risiko wurde mittels effektiver Gegenmaßnahmen zu 100% beseitigt bzw. das mögliche Ereignis, zu dem das Risiko eintreten könnte, ist bereits eingetreten.</t>
    </r>
  </si>
  <si>
    <t>&lt;Datum&gt;</t>
  </si>
  <si>
    <t>Geldwert EUR</t>
  </si>
  <si>
    <t>Erwartungswert</t>
  </si>
  <si>
    <t>O</t>
  </si>
  <si>
    <t>P</t>
  </si>
  <si>
    <r>
      <rPr>
        <b/>
        <i/>
        <sz val="11"/>
        <rFont val="Calibri"/>
        <family val="2"/>
        <scheme val="minor"/>
      </rPr>
      <t>Verstecktes Feld</t>
    </r>
    <r>
      <rPr>
        <sz val="11"/>
        <rFont val="Calibri"/>
        <family val="2"/>
        <scheme val="minor"/>
      </rPr>
      <t>. Feld der Risikomatrix, in welches das Risiko eingeordnet wird</t>
    </r>
  </si>
  <si>
    <t>Mögliche Schäden/Schadensausmaß</t>
  </si>
  <si>
    <t>Auflistung der Schäden, die der Risikoeintritt verursachen würde.</t>
  </si>
  <si>
    <t>Q</t>
  </si>
  <si>
    <t>R</t>
  </si>
  <si>
    <t>S</t>
  </si>
  <si>
    <t>T</t>
  </si>
  <si>
    <t>U</t>
  </si>
  <si>
    <t>V</t>
  </si>
  <si>
    <t>W</t>
  </si>
  <si>
    <t>X</t>
  </si>
  <si>
    <t>Y</t>
  </si>
  <si>
    <t>Z</t>
  </si>
  <si>
    <t>AA</t>
  </si>
  <si>
    <t>AB</t>
  </si>
  <si>
    <t>AC</t>
  </si>
  <si>
    <t>AD</t>
  </si>
  <si>
    <t>AE</t>
  </si>
  <si>
    <t>AF</t>
  </si>
  <si>
    <t>AG</t>
  </si>
  <si>
    <t>AH</t>
  </si>
  <si>
    <t>Zu welchem Termin tritt das Risko aller Wahrscheinlichkeit nach ein?</t>
  </si>
  <si>
    <t xml:space="preserve">Wie hoch (in EUR) wird der voraussichtlich zu erwartenden finanzielle Schaden bei Eintritt des Risikos sein? </t>
  </si>
  <si>
    <t>Der anhand der zuvor geschätzten Eintritswahrscheinlichkeit einzuberechnende finanzielle Schaden. Die hinterlegte Formel berechnet anhand der Eintrittswahrscheinlichkeit (Feld "J") den prozentualen Anteil des finanzellen Schadens.</t>
  </si>
  <si>
    <t>Welche Gegenmaßnahmen sind zu planen, um den Eintritt des Risikos zu vermeiden bzw. die Eintrittswahrscheinlichkeit zu reduzieren?</t>
  </si>
  <si>
    <t>Zu welchem Datum sollte die Maßnahme umgesetzt werden?</t>
  </si>
  <si>
    <r>
      <t xml:space="preserve">Wurde die Maßnahme bereits abgeschlossen?
</t>
    </r>
    <r>
      <rPr>
        <b/>
        <sz val="11"/>
        <rFont val="Calibri"/>
        <family val="2"/>
        <scheme val="minor"/>
      </rPr>
      <t>Ja
Nein</t>
    </r>
  </si>
  <si>
    <r>
      <t xml:space="preserve">War die umgesetzte Maßnahme erfolgreich?
</t>
    </r>
    <r>
      <rPr>
        <b/>
        <sz val="11"/>
        <rFont val="Calibri"/>
        <family val="2"/>
        <scheme val="minor"/>
      </rPr>
      <t>Ja
Nein</t>
    </r>
  </si>
  <si>
    <r>
      <t xml:space="preserve">Wurde das Risiko mit der umgesetzten Maßnahme beseitigt?
</t>
    </r>
    <r>
      <rPr>
        <b/>
        <sz val="11"/>
        <rFont val="Calibri"/>
        <family val="2"/>
        <scheme val="minor"/>
      </rPr>
      <t>Ja
Nein</t>
    </r>
  </si>
  <si>
    <r>
      <t xml:space="preserve">Muss auf Grund der Schwere des Risikos eine höhere Leitungsebene beteiligt und um Entscheidung gebeten werden?
</t>
    </r>
    <r>
      <rPr>
        <b/>
        <sz val="11"/>
        <rFont val="Calibri"/>
        <family val="2"/>
        <scheme val="minor"/>
      </rPr>
      <t>Ja
Nein</t>
    </r>
  </si>
  <si>
    <r>
      <t xml:space="preserve">Analyse </t>
    </r>
    <r>
      <rPr>
        <b/>
        <sz val="11"/>
        <rFont val="Calibri"/>
        <family val="2"/>
        <scheme val="minor"/>
      </rPr>
      <t>NACH</t>
    </r>
    <r>
      <rPr>
        <sz val="11"/>
        <rFont val="Calibri"/>
        <family val="2"/>
        <scheme val="minor"/>
      </rPr>
      <t xml:space="preserve"> Gegenmaßnahme</t>
    </r>
  </si>
  <si>
    <r>
      <t>Analyse</t>
    </r>
    <r>
      <rPr>
        <b/>
        <sz val="11"/>
        <rFont val="Calibri"/>
        <family val="2"/>
        <scheme val="minor"/>
      </rPr>
      <t xml:space="preserve"> VOR </t>
    </r>
    <r>
      <rPr>
        <sz val="11"/>
        <rFont val="Calibri"/>
        <family val="2"/>
        <scheme val="minor"/>
      </rPr>
      <t>Gegenmaßnahme</t>
    </r>
  </si>
  <si>
    <t xml:space="preserve">Das Dokument besteht aus drei Teilen: Risikoliste sowie Risikomatrix VOR und NACH Umsetzung der Gegenmaßnahme. </t>
  </si>
  <si>
    <t>Nur die Risikoliste muss manuell befüllt werden. Wenn die Risikoliste für ein Risiko vollständig ausgefüllt wurde, dann taucht das Risiko automatisch in der entsprechenden Risikomatrix (VOR oder NACH Umsetzung der Gegenmaßnahme) auf. Die Risikomatrizen enthalten nur Risiken, denen in der Risikoliste der Status "aktiv" zugeordnet wurde.</t>
  </si>
  <si>
    <t>C-G</t>
  </si>
  <si>
    <t>Farbfeld</t>
  </si>
  <si>
    <t>Feldbeschreibung Tabellenblätter "Risikomatrix VOR und NACH Maßnahme"</t>
  </si>
  <si>
    <t>Sp./Feld</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</si>
  <si>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</si>
  <si>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Die Risikoliste enthält Detailinformationen zu allen identifizierten Risiken, notwendige Gegenmaßnahmen sowie die Analyse vor und nach der jeweiligen Gegenmaßnahme.</t>
  </si>
  <si>
    <t>Die Risikomatrizen VOR und NACH Umsetzung der Gegenmaßnahme bieten einen Gesamtüberblick über alle Risiken im Projekt mit Bezug auf ihre Eintritsswahrscheinlichkeit und ihre Auswirkungen.</t>
  </si>
  <si>
    <t>Risikofelder</t>
  </si>
  <si>
    <t>Anzahl der Risikien in den Klassen A, B und C. Der Wert ergibt sich aus den versteckten Feldern "O" bzw. "AG" der Risikoliste.</t>
  </si>
  <si>
    <r>
      <t xml:space="preserve">Analyse </t>
    </r>
    <r>
      <rPr>
        <b/>
        <u/>
        <sz val="11"/>
        <rFont val="Calibri"/>
        <family val="2"/>
        <scheme val="minor"/>
      </rPr>
      <t>VOR</t>
    </r>
    <r>
      <rPr>
        <b/>
        <sz val="11"/>
        <rFont val="Calibri"/>
        <family val="2"/>
        <scheme val="minor"/>
      </rPr>
      <t xml:space="preserve"> Gegenmaßnahme</t>
    </r>
  </si>
  <si>
    <t>Analyse NACH Gegenmaßnahme</t>
  </si>
  <si>
    <r>
      <t>S-O-S-Methode</t>
    </r>
    <r>
      <rPr>
        <b/>
        <vertAlign val="superscript"/>
        <sz val="26"/>
        <rFont val="Calibri"/>
        <family val="2"/>
        <scheme val="minor"/>
      </rPr>
      <t>©</t>
    </r>
  </si>
  <si>
    <t>Version 3.1</t>
  </si>
  <si>
    <t>Laufende Risikonummer.</t>
  </si>
  <si>
    <r>
      <t xml:space="preserve">Die Eintrittswahrscheinlichkeit des Risikos:
</t>
    </r>
    <r>
      <rPr>
        <b/>
        <sz val="11"/>
        <rFont val="Calibri"/>
        <family val="2"/>
        <scheme val="minor"/>
      </rPr>
      <t>10%</t>
    </r>
    <r>
      <rPr>
        <sz val="11"/>
        <rFont val="Calibri"/>
        <family val="2"/>
        <scheme val="minor"/>
      </rPr>
      <t xml:space="preserve"> = Sehr unwahrscheinlich (1%–20%)
</t>
    </r>
    <r>
      <rPr>
        <b/>
        <sz val="11"/>
        <rFont val="Calibri"/>
        <family val="2"/>
        <scheme val="minor"/>
      </rPr>
      <t xml:space="preserve">30% </t>
    </r>
    <r>
      <rPr>
        <sz val="11"/>
        <rFont val="Calibri"/>
        <family val="2"/>
        <scheme val="minor"/>
      </rPr>
      <t xml:space="preserve">= Unwahrscheinlich (21%–40%)
</t>
    </r>
    <r>
      <rPr>
        <b/>
        <sz val="11"/>
        <rFont val="Calibri"/>
        <family val="2"/>
        <scheme val="minor"/>
      </rPr>
      <t>50%</t>
    </r>
    <r>
      <rPr>
        <sz val="11"/>
        <rFont val="Calibri"/>
        <family val="2"/>
        <scheme val="minor"/>
      </rPr>
      <t xml:space="preserve"> = Wahrscheinlich (41%–60%)
</t>
    </r>
    <r>
      <rPr>
        <b/>
        <sz val="11"/>
        <rFont val="Calibri"/>
        <family val="2"/>
        <scheme val="minor"/>
      </rPr>
      <t>70%</t>
    </r>
    <r>
      <rPr>
        <sz val="11"/>
        <rFont val="Calibri"/>
        <family val="2"/>
        <scheme val="minor"/>
      </rPr>
      <t xml:space="preserve"> = Höchstwahrscheinlich (61%–80%)
</t>
    </r>
    <r>
      <rPr>
        <b/>
        <sz val="11"/>
        <rFont val="Calibri"/>
        <family val="2"/>
        <scheme val="minor"/>
      </rPr>
      <t>90%</t>
    </r>
    <r>
      <rPr>
        <sz val="11"/>
        <rFont val="Calibri"/>
        <family val="2"/>
        <scheme val="minor"/>
      </rPr>
      <t xml:space="preserve"> = Fast sicher (81%–99%).</t>
    </r>
  </si>
  <si>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</si>
  <si>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Die aus der Kombination von Eintrittswahrscheinlichkeit und Auswirkung gewonnene Risikoklasse:
A = Reagieren notwendig
B = Beobachten, Frühwarnsystem 
C = Lediglich wahrnehmen.</t>
  </si>
  <si>
    <r>
      <rPr>
        <b/>
        <i/>
        <sz val="11"/>
        <rFont val="Calibri"/>
        <family val="2"/>
        <scheme val="minor"/>
      </rPr>
      <t>Verstecktes Feld</t>
    </r>
    <r>
      <rPr>
        <sz val="11"/>
        <rFont val="Calibri"/>
        <family val="2"/>
        <scheme val="minor"/>
      </rPr>
      <t>. Feld der Risikomatrix, in welches das Risiko eingeordnet wird.</t>
    </r>
  </si>
  <si>
    <t>Verantwortliche/-r für Umsetzung</t>
  </si>
  <si>
    <t>Termin für die Umsetzung</t>
  </si>
  <si>
    <t>Auswirkungen 1-5 aus der Risikoliste (Feld "K" bzw. "AC").</t>
  </si>
  <si>
    <t>Eintrittswahrscheinlichkeit (10%, 30%, 50%, 70%, 90%) aus der Risikoliste (Feld "J" bzw. "AB).</t>
  </si>
  <si>
    <t>Erfasser/-in</t>
  </si>
  <si>
    <t>Verantwortliche/-r für Risiko</t>
  </si>
  <si>
    <r>
      <rPr>
        <b/>
        <sz val="11"/>
        <rFont val="Calibri"/>
        <family val="2"/>
        <scheme val="minor"/>
      </rPr>
      <t>Input:</t>
    </r>
    <r>
      <rPr>
        <sz val="11"/>
        <rFont val="Calibri"/>
        <family val="2"/>
        <scheme val="minor"/>
      </rPr>
      <t xml:space="preserve"> keine</t>
    </r>
  </si>
  <si>
    <r>
      <rPr>
        <b/>
        <sz val="11"/>
        <rFont val="Calibri"/>
        <family val="2"/>
        <scheme val="minor"/>
      </rPr>
      <t>Output:</t>
    </r>
    <r>
      <rPr>
        <sz val="11"/>
        <rFont val="Calibri"/>
        <family val="2"/>
        <scheme val="minor"/>
      </rPr>
      <t xml:space="preserve"> LA-Vorlage, diverse Statusberichte</t>
    </r>
  </si>
  <si>
    <t>Laufende Risikonummer</t>
  </si>
  <si>
    <t>Kategorisierung/Thema des Risikos</t>
  </si>
  <si>
    <t>Kurze Bezeichnung / ID des Risikos</t>
  </si>
  <si>
    <t>Arbeitsblatt nur von der dokumentenverantwortlichen Person zu pflegen! Nur für Excel-interne Steuerung.</t>
  </si>
  <si>
    <t>März 2021</t>
  </si>
  <si>
    <t>Erfasst am bzw. Erfasser/-in</t>
  </si>
  <si>
    <t>Verantwortliche/-r für das Risiko</t>
  </si>
  <si>
    <t>Wer übernimmt die Verantwortung für das Risiko?</t>
  </si>
  <si>
    <t>Verantwortliche/-r für die Umsetzung</t>
  </si>
  <si>
    <t>Wer ist für die Umsetzung der Gegenmaßnahme verantwortlich?</t>
  </si>
  <si>
    <t>Eskalition/ Eskalation erforderlich</t>
  </si>
  <si>
    <t>Der anhand der zuvor geschätzten Eintrittswahrscheinlichkeit einzuberechnende finanzielle Schaden. Die hinterlegte Formel berechnet anhand der Eintrittswahrscheinlichkeit (Feld "J") den prozentualen Anteil des finanzellen Schadens.</t>
  </si>
  <si>
    <r>
      <rPr>
        <b/>
        <sz val="11"/>
        <rFont val="Calibri"/>
        <family val="2"/>
        <scheme val="minor"/>
      </rPr>
      <t xml:space="preserve">Tabellenblatt "Risikoliste": </t>
    </r>
    <r>
      <rPr>
        <sz val="11"/>
        <rFont val="Calibri"/>
        <family val="2"/>
        <scheme val="minor"/>
      </rPr>
      <t>Zur besseren Handhabbarkeit sind die obersten und vordersten Zeilen im Tabellenblatt "Risikoliste" eingefroren und bleiben beim runter- Herunter- oder nach rechts Scrollen sichtbar. Diese Einstellung kann wie folgt aufgehoben werden: in der Arbeitsblatt-Leiste unten auf das entsprechende Arbeitsblatt gehen --&gt; in der Menüleiste oben den Reiter "Ansicht" auswählen --&gt; im Unterabschnitt "Fenster" die Option "Fenster einfrieren" anklicken und auf "Fixierung aufheben" klicken.</t>
    </r>
  </si>
  <si>
    <t>Kompetenzzentrum (Groß-)Projektmanagement 
(CC GroßPM)</t>
  </si>
  <si>
    <t>Zeitplan nicht eingehalten</t>
  </si>
  <si>
    <t>Zeitplan</t>
  </si>
  <si>
    <t>Der Zeitplan wird nicht eingehalten, was zu Verzögerungen und zusätzlichen Kosten führt.</t>
  </si>
  <si>
    <t>Dany Ambühl</t>
  </si>
  <si>
    <t>Product Owner</t>
  </si>
  <si>
    <t>Projekt wird nicht abgeschlossen / Ungenügend</t>
  </si>
  <si>
    <t>Gutes Projektmanagement und regelmässige Überprüfung des Zeitplans, um Verzögerungen frühzeitig zu erkennen und zu beheben</t>
  </si>
  <si>
    <t>Technische Probleme</t>
  </si>
  <si>
    <t>Tech</t>
  </si>
  <si>
    <t>Technische Probleme treten auf, die die Funktionalität des Projekts gefährden.</t>
  </si>
  <si>
    <t>Regelmässige Tests und Feedback von Experte, um technische Probleme frühzeitig zu erkennen und zu beheben.</t>
  </si>
  <si>
    <t>Projekt nur teilweise abgeschlossen und Ziele nicht erreicht</t>
  </si>
  <si>
    <t>Umfangserweiterung</t>
  </si>
  <si>
    <t>Titel</t>
  </si>
  <si>
    <t>Benachrichtigungen über neue Angebote</t>
  </si>
  <si>
    <t>enachrichtigungen über neue Angebote können versehentlich ausgelöst werden und Benutzer verärgern</t>
  </si>
  <si>
    <t>Ben</t>
  </si>
  <si>
    <t>Umfang</t>
  </si>
  <si>
    <t>Das Projekt kann Verzögerungen erleiden, wenn der Umfang unerwartet erweitert wird oder technische Herausforderungen auftreten.</t>
  </si>
  <si>
    <t>Klare Definition des Projektumfangs und regelmässige Überprüfung, um unerwartete Erweiterungen zu vermeiden.</t>
  </si>
  <si>
    <t>Verärgete Benutzer</t>
  </si>
  <si>
    <t>Implementierung von Tests und Überwachung, um versehentliche Benachrichtigungen zu vermeiden.  </t>
  </si>
  <si>
    <t>Verfügbare Daten</t>
  </si>
  <si>
    <t>Daten</t>
  </si>
  <si>
    <t>Es stehen nicht genügend Daten zur Verfügung, um die Funktionalität des Projekts zu gewährleisten.</t>
  </si>
  <si>
    <t>Nicht genügend Wohnungsdaten SmartZiele nicht erreiche</t>
  </si>
  <si>
    <t xml:space="preserve">Frühzeitig prüfen, dass ausreichend Daten verfügbar sind, um die Funktionalität des Projekts zu gewährleisten. </t>
  </si>
  <si>
    <t>Datenschutzverletzung</t>
  </si>
  <si>
    <t>Schutz</t>
  </si>
  <si>
    <t>Es besteht das Risiko, dass das Scrabbing von Daten auf den Genossenschaftswohnungen unerlaubt ist oder verhindert wird.</t>
  </si>
  <si>
    <t xml:space="preserve">Kein zugriff auf Daten </t>
  </si>
  <si>
    <t>Informieren zu Datenschutzrichtlinien, um das Risiko einer Datenschutzverletzung zu minimieren und Zugriffe Variable gestalten</t>
  </si>
  <si>
    <t>Benutzerfreundlichkeit</t>
  </si>
  <si>
    <t>Benutz</t>
  </si>
  <si>
    <t>Die Benutzerfreundlichkeit der Plattform entspricht nicht den Erwartungen der Benutzer.</t>
  </si>
  <si>
    <t>Evaluation von Erwartungen und Tests, um die Benutzerfreundlichkeit der Plattform zu verbessern.</t>
  </si>
  <si>
    <t>Performance-Probleme</t>
  </si>
  <si>
    <t>Perf</t>
  </si>
  <si>
    <t>Die Plattform ist langsam oder instabil, was zu einer schlechten Benutzererfahrung führt.</t>
  </si>
  <si>
    <t>Detaillierte Evaluation der richtigen Datenbank und Überwachung der Performance, um Performance-Probleme zu minimieren.</t>
  </si>
  <si>
    <t>Missverständnisse bei der Anforderungsdefinition</t>
  </si>
  <si>
    <t>Miss</t>
  </si>
  <si>
    <t>Missverständnisse bei der Anforderungsdefinition können zu Fehlern und Missverständnissen führen.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</si>
</sst>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 #,##0.00\ [$€]_-;_-* &quot;-&quot;??\ [$€]_-;_-@_-"/>
    <numFmt numFmtId="165" formatCode="#,##0.00\ &quot;€&quot;"/>
  </numFmts>
  <fonts count="42" x14ac:knownFonts="1">
    <font>
      <sz val="10"/>
      <name val="Arial"/>
    </font>
    <font>
      <sz val="8"/>
      <name val="Arial"/>
      <family val="2"/>
    </font>
    <font>
      <b/>
      <sz val="20"/>
      <name val="Cambria"/>
      <family val="1"/>
      <scheme val="major"/>
    </font>
    <font>
      <b/>
      <sz val="18"/>
      <color theme="0"/>
      <name val="Cambria"/>
      <family val="1"/>
      <scheme val="major"/>
    </font>
    <font>
      <b/>
      <sz val="10"/>
      <name val="Calibri"/>
      <family val="2"/>
      <scheme val="minor"/>
    </font>
    <font>
      <sz val="10"/>
      <name val="Calibri"/>
      <family val="2"/>
      <scheme val="minor"/>
    </font>
    <font>
      <b/>
      <sz val="11"/>
      <name val="Calibri"/>
      <family val="2"/>
      <scheme val="minor"/>
    </font>
    <font>
      <sz val="11"/>
      <name val="Calibri"/>
      <family val="2"/>
      <scheme val="minor"/>
    </font>
    <font>
      <sz val="10"/>
      <color rgb="FF000000"/>
      <name val="Calibri"/>
      <family val="2"/>
    </font>
    <font>
      <b/>
      <sz val="20"/>
      <name val="Calibri"/>
      <family val="2"/>
      <scheme val="minor"/>
    </font>
    <font>
      <sz val="10"/>
      <color theme="0"/>
      <name val="Calibri"/>
      <family val="2"/>
      <scheme val="minor"/>
    </font>
    <font>
      <b/>
      <sz val="10"/>
      <color theme="0"/>
      <name val="Calibri"/>
      <family val="2"/>
      <scheme val="minor"/>
    </font>
    <font>
      <sz val="10"/>
      <name val="Arial"/>
      <family val="2"/>
    </font>
    <font>
      <sz val="11"/>
      <color rgb="FF000000"/>
      <name val="Calibri"/>
      <family val="2"/>
    </font>
    <font>
      <sz val="10"/>
      <name val="Arial"/>
      <family val="2"/>
    </font>
    <font>
      <b/>
      <sz val="12"/>
      <name val="Calibri"/>
      <family val="2"/>
      <scheme val="minor"/>
    </font>
    <font>
      <b/>
      <sz val="12"/>
      <color theme="0"/>
      <name val="Calibri"/>
      <family val="2"/>
      <scheme val="minor"/>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color indexed="9"/>
      <name val="Calibri"/>
      <family val="2"/>
      <scheme val="minor"/>
    </font>
    <font>
      <b/>
      <u/>
      <sz val="11"/>
      <name val="Calibri"/>
      <family val="2"/>
      <scheme val="minor"/>
    </font>
    <font>
      <b/>
      <i/>
      <sz val="11"/>
      <name val="Calibri"/>
      <family val="2"/>
      <scheme val="minor"/>
    </font>
    <font>
      <b/>
      <sz val="26"/>
      <name val="Calibri"/>
      <family val="2"/>
      <scheme val="minor"/>
    </font>
    <font>
      <b/>
      <vertAlign val="superscript"/>
      <sz val="26"/>
      <name val="Calibri"/>
      <family val="2"/>
      <scheme val="minor"/>
    </font>
    <font>
      <b/>
      <sz val="22"/>
      <name val="Calibri"/>
      <family val="2"/>
      <scheme val="minor"/>
    </font>
    <font>
      <b/>
      <i/>
      <sz val="11"/>
      <color theme="0"/>
      <name val="Calibri"/>
      <family val="2"/>
      <scheme val="minor"/>
    </font>
    <font>
      <b/>
      <sz val="16"/>
      <color theme="0"/>
      <name val="Calibri"/>
      <family val="2"/>
      <scheme val="minor"/>
    </font>
  </fonts>
  <fills count="36">
    <fill>
      <patternFill patternType="none"/>
    </fill>
    <fill>
      <patternFill patternType="gray125"/>
    </fill>
    <fill>
      <patternFill patternType="solid">
        <fgColor rgb="FF064963"/>
        <bgColor indexed="64"/>
      </patternFill>
    </fill>
    <fill>
      <patternFill patternType="solid">
        <fgColor rgb="FF58DA8D"/>
        <bgColor indexed="64"/>
      </patternFill>
    </fill>
    <fill>
      <patternFill patternType="solid">
        <fgColor indexed="13"/>
        <bgColor indexed="64"/>
      </patternFill>
    </fill>
    <fill>
      <patternFill patternType="solid">
        <fgColor indexed="10"/>
        <bgColor indexed="64"/>
      </patternFill>
    </fill>
    <fill>
      <patternFill patternType="solid">
        <fgColor indexed="17"/>
        <bgColor indexed="64"/>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79E1A3"/>
        <bgColor indexed="64"/>
      </patternFill>
    </fill>
    <fill>
      <patternFill patternType="solid">
        <fgColor rgb="FF2AC067"/>
        <bgColor indexed="64"/>
      </patternFill>
    </fill>
    <fill>
      <patternFill patternType="solid">
        <fgColor theme="0" tint="-4.9989318521683403E-2"/>
        <bgColor indexed="64"/>
      </patternFill>
    </fill>
    <fill>
      <patternFill patternType="solid">
        <fgColor theme="0" tint="-0.14999847407452621"/>
        <bgColor indexed="64"/>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23"/>
      </left>
      <right style="thin">
        <color indexed="8"/>
      </right>
      <top style="medium">
        <color indexed="23"/>
      </top>
      <bottom style="thin">
        <color indexed="8"/>
      </bottom>
      <diagonal/>
    </border>
    <border>
      <left style="thin">
        <color indexed="8"/>
      </left>
      <right style="thin">
        <color indexed="8"/>
      </right>
      <top style="medium">
        <color indexed="23"/>
      </top>
      <bottom style="thin">
        <color indexed="8"/>
      </bottom>
      <diagonal/>
    </border>
    <border>
      <left style="thin">
        <color indexed="8"/>
      </left>
      <right style="medium">
        <color indexed="23"/>
      </right>
      <top style="medium">
        <color indexed="23"/>
      </top>
      <bottom style="thin">
        <color indexed="8"/>
      </bottom>
      <diagonal/>
    </border>
    <border>
      <left style="medium">
        <color indexed="23"/>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23"/>
      </right>
      <top style="thin">
        <color indexed="8"/>
      </top>
      <bottom style="thin">
        <color indexed="8"/>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thin">
        <color indexed="8"/>
      </right>
      <top style="thin">
        <color indexed="8"/>
      </top>
      <bottom style="medium">
        <color indexed="23"/>
      </bottom>
      <diagonal/>
    </border>
    <border>
      <left style="thin">
        <color indexed="8"/>
      </left>
      <right style="thin">
        <color indexed="8"/>
      </right>
      <top style="thin">
        <color indexed="8"/>
      </top>
      <bottom style="medium">
        <color indexed="23"/>
      </bottom>
      <diagonal/>
    </border>
    <border>
      <left style="thin">
        <color indexed="8"/>
      </left>
      <right style="medium">
        <color indexed="23"/>
      </right>
      <top style="thin">
        <color indexed="8"/>
      </top>
      <bottom style="medium">
        <color indexed="23"/>
      </bottom>
      <diagonal/>
    </border>
    <border>
      <left style="medium">
        <color indexed="23"/>
      </left>
      <right style="medium">
        <color indexed="23"/>
      </right>
      <top/>
      <bottom style="medium">
        <color indexed="23"/>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s>
  <cellStyleXfs count="46">
    <xf numFmtId="0" fontId="0" fillId="0" borderId="0"/>
    <xf numFmtId="0" fontId="12" fillId="0" borderId="0"/>
    <xf numFmtId="0" fontId="12" fillId="0" borderId="0"/>
    <xf numFmtId="9" fontId="14" fillId="0" borderId="0" applyFont="0" applyFill="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9" borderId="0" applyNumberFormat="0" applyBorder="0" applyAlignment="0" applyProtection="0"/>
    <xf numFmtId="0" fontId="17" fillId="7" borderId="0" applyNumberFormat="0" applyBorder="0" applyAlignment="0" applyProtection="0"/>
    <xf numFmtId="0" fontId="17" fillId="17" borderId="0" applyNumberFormat="0" applyBorder="0" applyAlignment="0" applyProtection="0"/>
    <xf numFmtId="0" fontId="17" fillId="15"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19" borderId="0" applyNumberFormat="0" applyBorder="0" applyAlignment="0" applyProtection="0"/>
    <xf numFmtId="0" fontId="18" fillId="21" borderId="0" applyNumberFormat="0" applyBorder="0" applyAlignment="0" applyProtection="0"/>
    <xf numFmtId="0" fontId="18" fillId="15" borderId="0" applyNumberFormat="0" applyBorder="0" applyAlignment="0" applyProtection="0"/>
    <xf numFmtId="0" fontId="18" fillId="18" borderId="0" applyNumberFormat="0" applyBorder="0" applyAlignment="0" applyProtection="0"/>
    <xf numFmtId="0" fontId="18" fillId="22" borderId="0" applyNumberFormat="0" applyBorder="0" applyAlignment="0" applyProtection="0"/>
    <xf numFmtId="0" fontId="18" fillId="20"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2" borderId="0" applyNumberFormat="0" applyBorder="0" applyAlignment="0" applyProtection="0"/>
    <xf numFmtId="0" fontId="18" fillId="20" borderId="0" applyNumberFormat="0" applyBorder="0" applyAlignment="0" applyProtection="0"/>
    <xf numFmtId="0" fontId="18" fillId="27" borderId="0" applyNumberFormat="0" applyBorder="0" applyAlignment="0" applyProtection="0"/>
    <xf numFmtId="0" fontId="19" fillId="14" borderId="24" applyNumberFormat="0" applyAlignment="0" applyProtection="0"/>
    <xf numFmtId="0" fontId="20" fillId="14" borderId="25" applyNumberFormat="0" applyAlignment="0" applyProtection="0"/>
    <xf numFmtId="0" fontId="21" fillId="7" borderId="25" applyNumberFormat="0" applyAlignment="0" applyProtection="0"/>
    <xf numFmtId="0" fontId="22" fillId="0" borderId="26" applyNumberFormat="0" applyFill="0" applyAlignment="0" applyProtection="0"/>
    <xf numFmtId="0" fontId="23" fillId="0" borderId="0" applyNumberFormat="0" applyFill="0" applyBorder="0" applyAlignment="0" applyProtection="0"/>
    <xf numFmtId="164" fontId="12" fillId="0" borderId="0" applyFont="0" applyFill="0" applyBorder="0" applyAlignment="0" applyProtection="0"/>
    <xf numFmtId="0" fontId="24" fillId="12" borderId="0" applyNumberFormat="0" applyBorder="0" applyAlignment="0" applyProtection="0"/>
    <xf numFmtId="0" fontId="25" fillId="16" borderId="0" applyNumberFormat="0" applyBorder="0" applyAlignment="0" applyProtection="0"/>
    <xf numFmtId="0" fontId="12" fillId="8" borderId="27" applyNumberFormat="0" applyFont="0" applyAlignment="0" applyProtection="0"/>
    <xf numFmtId="0" fontId="26" fillId="11" borderId="0" applyNumberFormat="0" applyBorder="0" applyAlignment="0" applyProtection="0"/>
    <xf numFmtId="0" fontId="27" fillId="0" borderId="0" applyNumberFormat="0" applyFill="0" applyBorder="0" applyAlignment="0" applyProtection="0"/>
    <xf numFmtId="0" fontId="28" fillId="0" borderId="28" applyNumberFormat="0" applyFill="0" applyAlignment="0" applyProtection="0"/>
    <xf numFmtId="0" fontId="29" fillId="0" borderId="29" applyNumberFormat="0" applyFill="0" applyAlignment="0" applyProtection="0"/>
    <xf numFmtId="0" fontId="30" fillId="0" borderId="30" applyNumberFormat="0" applyFill="0" applyAlignment="0" applyProtection="0"/>
    <xf numFmtId="0" fontId="30" fillId="0" borderId="0" applyNumberFormat="0" applyFill="0" applyBorder="0" applyAlignment="0" applyProtection="0"/>
    <xf numFmtId="0" fontId="31" fillId="0" borderId="31" applyNumberFormat="0" applyFill="0" applyAlignment="0" applyProtection="0"/>
    <xf numFmtId="0" fontId="32" fillId="0" borderId="0" applyNumberFormat="0" applyFill="0" applyBorder="0" applyAlignment="0" applyProtection="0"/>
    <xf numFmtId="0" fontId="33" fillId="28" borderId="32" applyNumberFormat="0" applyAlignment="0" applyProtection="0"/>
  </cellStyleXfs>
  <cellXfs count="119">
    <xf numFmtId="0" fontId="0" fillId="0" borderId="0" xfId="0"/>
    <xf numFmtId="0" fontId="7" fillId="0" borderId="0" xfId="0" applyFont="1" applyAlignment="1">
      <alignment vertical="center"/>
    </xf>
    <xf numFmtId="0" fontId="5" fillId="0" borderId="0" xfId="2" applyFont="1" applyAlignment="1">
      <alignment vertical="center"/>
    </xf>
    <xf numFmtId="0" fontId="4" fillId="0" borderId="0" xfId="2" applyFont="1" applyAlignment="1">
      <alignment horizontal="right" vertical="top"/>
    </xf>
    <xf numFmtId="0" fontId="4" fillId="0" borderId="0" xfId="2" applyFont="1" applyAlignment="1">
      <alignment vertical="top" wrapText="1"/>
    </xf>
    <xf numFmtId="0" fontId="5" fillId="0" borderId="0" xfId="2" applyFont="1" applyAlignment="1">
      <alignment vertical="top"/>
    </xf>
    <xf numFmtId="0" fontId="5" fillId="3" borderId="0" xfId="2" applyFont="1" applyFill="1" applyAlignment="1">
      <alignment vertical="center"/>
    </xf>
    <xf numFmtId="0" fontId="4" fillId="3" borderId="0" xfId="2" applyFont="1" applyFill="1" applyAlignment="1">
      <alignment horizontal="right" vertical="top"/>
    </xf>
    <xf numFmtId="0" fontId="4" fillId="3" borderId="0" xfId="2" applyFont="1" applyFill="1" applyAlignment="1">
      <alignment vertical="top" wrapText="1"/>
    </xf>
    <xf numFmtId="0" fontId="9" fillId="3" borderId="0" xfId="2" applyFont="1" applyFill="1" applyAlignment="1">
      <alignment vertical="top"/>
    </xf>
    <xf numFmtId="0" fontId="9" fillId="0" borderId="0" xfId="2" applyFont="1" applyAlignment="1">
      <alignment vertical="top"/>
    </xf>
    <xf numFmtId="0" fontId="2" fillId="3" borderId="0" xfId="2" applyFont="1" applyFill="1" applyAlignment="1">
      <alignment vertical="top" wrapText="1"/>
    </xf>
    <xf numFmtId="0" fontId="10" fillId="2" borderId="0" xfId="2" applyFont="1" applyFill="1" applyAlignment="1">
      <alignment vertical="center"/>
    </xf>
    <xf numFmtId="0" fontId="11" fillId="2" borderId="0" xfId="2" applyFont="1" applyFill="1" applyAlignment="1">
      <alignment horizontal="right" vertical="top"/>
    </xf>
    <xf numFmtId="0" fontId="11" fillId="2" borderId="0" xfId="2" applyFont="1" applyFill="1" applyAlignment="1">
      <alignment vertical="top" wrapText="1"/>
    </xf>
    <xf numFmtId="0" fontId="3" fillId="2" borderId="0" xfId="2" applyFont="1" applyFill="1" applyAlignment="1">
      <alignment horizontal="left" vertical="top"/>
    </xf>
    <xf numFmtId="0" fontId="7" fillId="0" borderId="0" xfId="0" applyFont="1"/>
    <xf numFmtId="0" fontId="7" fillId="0" borderId="7" xfId="0" quotePrefix="1" applyFont="1" applyBorder="1" applyAlignment="1">
      <alignment horizontal="right" vertical="top"/>
    </xf>
    <xf numFmtId="0" fontId="7" fillId="0" borderId="0" xfId="0" applyFont="1" applyAlignment="1">
      <alignment vertical="top"/>
    </xf>
    <xf numFmtId="0" fontId="7" fillId="0" borderId="10" xfId="0" quotePrefix="1" applyFont="1" applyBorder="1" applyAlignment="1">
      <alignment horizontal="right" vertical="top"/>
    </xf>
    <xf numFmtId="0" fontId="6" fillId="0" borderId="0" xfId="0" applyFont="1" applyAlignment="1">
      <alignment horizontal="center" vertical="top"/>
    </xf>
    <xf numFmtId="0" fontId="7" fillId="0" borderId="7" xfId="0" applyFont="1" applyBorder="1" applyAlignment="1">
      <alignment horizontal="left" vertical="top" wrapText="1"/>
    </xf>
    <xf numFmtId="0" fontId="7" fillId="0" borderId="8" xfId="0" applyFont="1" applyBorder="1" applyAlignment="1">
      <alignment vertical="top" wrapText="1"/>
    </xf>
    <xf numFmtId="0" fontId="7" fillId="0" borderId="9" xfId="0" applyFont="1" applyBorder="1" applyAlignment="1">
      <alignment vertical="top" wrapText="1"/>
    </xf>
    <xf numFmtId="0" fontId="7" fillId="0" borderId="0" xfId="0" applyFont="1" applyAlignment="1">
      <alignment horizontal="center" vertical="top" wrapText="1"/>
    </xf>
    <xf numFmtId="0" fontId="7" fillId="0" borderId="0" xfId="0" applyFont="1" applyAlignment="1">
      <alignment vertical="top" wrapText="1"/>
    </xf>
    <xf numFmtId="0" fontId="7" fillId="0" borderId="0" xfId="0" quotePrefix="1" applyFont="1" applyAlignment="1">
      <alignment horizontal="right" vertical="top"/>
    </xf>
    <xf numFmtId="0" fontId="6" fillId="0" borderId="0" xfId="0" applyFont="1" applyAlignment="1">
      <alignment horizontal="center"/>
    </xf>
    <xf numFmtId="9" fontId="7" fillId="0" borderId="0" xfId="0" applyNumberFormat="1" applyFont="1" applyAlignment="1">
      <alignment horizontal="center"/>
    </xf>
    <xf numFmtId="0" fontId="7" fillId="0" borderId="0" xfId="0" applyFont="1" applyAlignment="1">
      <alignment horizontal="center"/>
    </xf>
    <xf numFmtId="0" fontId="7" fillId="0" borderId="8" xfId="0" quotePrefix="1" applyFont="1" applyBorder="1" applyAlignment="1">
      <alignment horizontal="left" vertical="top" wrapText="1"/>
    </xf>
    <xf numFmtId="0" fontId="7" fillId="0" borderId="0" xfId="0" applyFont="1" applyProtection="1">
      <protection locked="0"/>
    </xf>
    <xf numFmtId="0" fontId="7" fillId="0" borderId="0" xfId="2" applyFont="1" applyAlignment="1" applyProtection="1">
      <alignment horizontal="center" vertical="center"/>
      <protection locked="0"/>
    </xf>
    <xf numFmtId="0" fontId="7" fillId="0" borderId="0" xfId="2" applyFont="1" applyProtection="1">
      <protection locked="0"/>
    </xf>
    <xf numFmtId="9" fontId="7" fillId="0" borderId="8" xfId="2" applyNumberFormat="1" applyFont="1" applyBorder="1" applyAlignment="1" applyProtection="1">
      <alignment horizontal="center" vertical="center"/>
      <protection locked="0"/>
    </xf>
    <xf numFmtId="0" fontId="6" fillId="0" borderId="0" xfId="0" applyFont="1" applyProtection="1">
      <protection locked="0"/>
    </xf>
    <xf numFmtId="0" fontId="7" fillId="4" borderId="12" xfId="2" applyFont="1" applyFill="1" applyBorder="1" applyAlignment="1">
      <alignment horizontal="center" vertical="center"/>
    </xf>
    <xf numFmtId="0" fontId="7" fillId="4" borderId="13" xfId="2" applyFont="1" applyFill="1" applyBorder="1" applyAlignment="1">
      <alignment horizontal="center" vertical="center"/>
    </xf>
    <xf numFmtId="0" fontId="7" fillId="5" borderId="13" xfId="2" applyFont="1" applyFill="1" applyBorder="1" applyAlignment="1">
      <alignment horizontal="center" vertical="center"/>
    </xf>
    <xf numFmtId="0" fontId="7" fillId="5" borderId="14" xfId="2" applyFont="1" applyFill="1" applyBorder="1" applyAlignment="1">
      <alignment horizontal="center" vertical="center"/>
    </xf>
    <xf numFmtId="0" fontId="34" fillId="6" borderId="15" xfId="2" applyFont="1" applyFill="1" applyBorder="1" applyAlignment="1">
      <alignment horizontal="center" vertical="center"/>
    </xf>
    <xf numFmtId="0" fontId="7" fillId="4" borderId="16" xfId="2" applyFont="1" applyFill="1" applyBorder="1" applyAlignment="1">
      <alignment horizontal="center" vertical="center"/>
    </xf>
    <xf numFmtId="0" fontId="7" fillId="5" borderId="16" xfId="2" applyFont="1" applyFill="1" applyBorder="1" applyAlignment="1">
      <alignment horizontal="center" vertical="center"/>
    </xf>
    <xf numFmtId="0" fontId="7" fillId="5" borderId="17" xfId="2" applyFont="1" applyFill="1" applyBorder="1" applyAlignment="1">
      <alignment horizontal="center" vertical="center"/>
    </xf>
    <xf numFmtId="0" fontId="34" fillId="6" borderId="16" xfId="2" applyFont="1" applyFill="1" applyBorder="1" applyAlignment="1">
      <alignment horizontal="center" vertical="center"/>
    </xf>
    <xf numFmtId="0" fontId="7" fillId="4" borderId="17" xfId="2" applyFont="1" applyFill="1" applyBorder="1" applyAlignment="1">
      <alignment horizontal="center" vertical="center"/>
    </xf>
    <xf numFmtId="0" fontId="34" fillId="6" borderId="20" xfId="2" applyFont="1" applyFill="1" applyBorder="1" applyAlignment="1">
      <alignment horizontal="center" vertical="center"/>
    </xf>
    <xf numFmtId="0" fontId="34" fillId="6" borderId="21" xfId="2" applyFont="1" applyFill="1" applyBorder="1" applyAlignment="1">
      <alignment horizontal="center" vertical="center"/>
    </xf>
    <xf numFmtId="0" fontId="7" fillId="4" borderId="22" xfId="2" applyFont="1" applyFill="1" applyBorder="1" applyAlignment="1">
      <alignment horizontal="center" vertical="center"/>
    </xf>
    <xf numFmtId="0" fontId="7" fillId="5" borderId="18" xfId="2" applyFont="1" applyFill="1" applyBorder="1" applyAlignment="1">
      <alignment horizontal="center" vertical="center" wrapText="1"/>
    </xf>
    <xf numFmtId="0" fontId="7" fillId="4" borderId="19" xfId="2" applyFont="1" applyFill="1" applyBorder="1" applyAlignment="1">
      <alignment horizontal="center" vertical="center" wrapText="1"/>
    </xf>
    <xf numFmtId="0" fontId="7" fillId="6" borderId="23" xfId="2" applyFont="1" applyFill="1" applyBorder="1" applyAlignment="1">
      <alignment horizontal="center" vertical="center" wrapText="1"/>
    </xf>
    <xf numFmtId="0" fontId="6" fillId="0" borderId="0" xfId="0" applyFont="1" applyAlignment="1">
      <alignment vertical="center"/>
    </xf>
    <xf numFmtId="0" fontId="7" fillId="0" borderId="0" xfId="2" quotePrefix="1" applyFont="1" applyAlignment="1">
      <alignment horizontal="right" vertical="top"/>
    </xf>
    <xf numFmtId="0" fontId="7" fillId="0" borderId="0" xfId="2" applyFont="1" applyAlignment="1">
      <alignment horizontal="left" vertical="top" wrapText="1"/>
    </xf>
    <xf numFmtId="0" fontId="7" fillId="0" borderId="0" xfId="0" applyFont="1" applyAlignment="1" applyProtection="1">
      <alignment horizontal="center" vertical="center" wrapText="1"/>
      <protection locked="0"/>
    </xf>
    <xf numFmtId="0" fontId="6" fillId="29" borderId="10" xfId="0" applyFont="1" applyFill="1" applyBorder="1" applyAlignment="1" applyProtection="1">
      <alignment horizontal="center" vertical="center" wrapText="1"/>
      <protection locked="0"/>
    </xf>
    <xf numFmtId="0" fontId="6" fillId="29" borderId="0" xfId="0" applyFont="1" applyFill="1" applyAlignment="1" applyProtection="1">
      <alignment horizontal="center" vertical="center" wrapText="1"/>
      <protection locked="0"/>
    </xf>
    <xf numFmtId="0" fontId="6" fillId="30" borderId="0" xfId="0" applyFont="1" applyFill="1" applyAlignment="1" applyProtection="1">
      <alignment horizontal="center" vertical="center" wrapText="1"/>
      <protection locked="0"/>
    </xf>
    <xf numFmtId="0" fontId="6" fillId="32" borderId="0" xfId="0" applyFont="1" applyFill="1" applyAlignment="1" applyProtection="1">
      <alignment horizontal="center" vertical="center" wrapText="1"/>
      <protection locked="0"/>
    </xf>
    <xf numFmtId="0" fontId="6" fillId="32" borderId="11" xfId="0" applyFont="1" applyFill="1" applyBorder="1" applyAlignment="1" applyProtection="1">
      <alignment horizontal="center" vertical="center" wrapText="1"/>
      <protection locked="0"/>
    </xf>
    <xf numFmtId="0" fontId="5" fillId="0" borderId="0" xfId="0" applyFont="1" applyProtection="1">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5" fillId="0" borderId="2" xfId="3" applyFont="1" applyBorder="1" applyAlignment="1" applyProtection="1">
      <alignment horizontal="center"/>
      <protection locked="0"/>
    </xf>
    <xf numFmtId="0" fontId="5" fillId="0" borderId="2" xfId="0" applyFont="1" applyBorder="1" applyAlignment="1">
      <alignment horizontal="center"/>
    </xf>
    <xf numFmtId="14" fontId="5" fillId="0" borderId="2" xfId="0" applyNumberFormat="1" applyFont="1" applyBorder="1" applyAlignment="1" applyProtection="1">
      <alignment horizontal="center"/>
      <protection locked="0"/>
    </xf>
    <xf numFmtId="0" fontId="6" fillId="32" borderId="10" xfId="0" applyFont="1" applyFill="1" applyBorder="1" applyAlignment="1" applyProtection="1">
      <alignment horizontal="center" vertical="center" wrapText="1"/>
      <protection locked="0"/>
    </xf>
    <xf numFmtId="0" fontId="5" fillId="0" borderId="1" xfId="0" applyFont="1" applyBorder="1" applyAlignment="1" applyProtection="1">
      <alignment horizontal="center" wrapText="1"/>
      <protection locked="0"/>
    </xf>
    <xf numFmtId="0" fontId="5" fillId="0" borderId="3" xfId="0" applyFont="1" applyBorder="1" applyAlignment="1" applyProtection="1">
      <alignment horizontal="center"/>
      <protection locked="0"/>
    </xf>
    <xf numFmtId="165" fontId="5" fillId="0" borderId="2" xfId="0" applyNumberFormat="1" applyFont="1" applyBorder="1" applyAlignment="1" applyProtection="1">
      <alignment horizontal="center"/>
      <protection locked="0"/>
    </xf>
    <xf numFmtId="165" fontId="5" fillId="0" borderId="2" xfId="0" applyNumberFormat="1" applyFont="1" applyBorder="1" applyAlignment="1">
      <alignment horizontal="center"/>
    </xf>
    <xf numFmtId="0" fontId="37" fillId="3" borderId="0" xfId="2" applyFont="1" applyFill="1" applyAlignment="1">
      <alignment horizontal="left" vertical="top"/>
    </xf>
    <xf numFmtId="0" fontId="37" fillId="3" borderId="0" xfId="2" applyFont="1" applyFill="1" applyAlignment="1">
      <alignment horizontal="left" vertical="top" wrapText="1"/>
    </xf>
    <xf numFmtId="0" fontId="39" fillId="3" borderId="0" xfId="2" applyFont="1" applyFill="1" applyAlignment="1">
      <alignment vertical="top" wrapText="1"/>
    </xf>
    <xf numFmtId="0" fontId="9" fillId="3" borderId="0" xfId="1" applyFont="1" applyFill="1" applyAlignment="1">
      <alignment horizontal="left" vertical="top" wrapText="1"/>
    </xf>
    <xf numFmtId="0" fontId="41" fillId="2" borderId="0" xfId="2" applyFont="1" applyFill="1" applyAlignment="1">
      <alignment horizontal="left" vertical="top"/>
    </xf>
    <xf numFmtId="49" fontId="41" fillId="2" borderId="0" xfId="2" applyNumberFormat="1" applyFont="1" applyFill="1" applyAlignment="1">
      <alignment horizontal="left" vertical="top"/>
    </xf>
    <xf numFmtId="0" fontId="7" fillId="0" borderId="10" xfId="0" applyFont="1" applyBorder="1" applyAlignment="1">
      <alignment horizontal="left" vertical="top" wrapText="1"/>
    </xf>
    <xf numFmtId="0" fontId="7" fillId="0" borderId="11" xfId="0" applyFont="1" applyBorder="1" applyAlignment="1">
      <alignment vertical="top" wrapText="1"/>
    </xf>
    <xf numFmtId="16" fontId="7" fillId="0" borderId="10" xfId="0" quotePrefix="1" applyNumberFormat="1"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vertical="top" wrapText="1"/>
    </xf>
    <xf numFmtId="0" fontId="7" fillId="0" borderId="6" xfId="0" applyFont="1" applyBorder="1" applyAlignment="1">
      <alignment vertical="top" wrapText="1"/>
    </xf>
    <xf numFmtId="0" fontId="6" fillId="0" borderId="0" xfId="0" applyFont="1" applyAlignment="1">
      <alignment vertical="top"/>
    </xf>
    <xf numFmtId="0" fontId="6" fillId="0" borderId="10" xfId="0" applyFont="1" applyBorder="1" applyAlignment="1">
      <alignment vertical="top"/>
    </xf>
    <xf numFmtId="0" fontId="6" fillId="0" borderId="11" xfId="0" applyFont="1" applyBorder="1" applyAlignment="1">
      <alignment vertical="top"/>
    </xf>
    <xf numFmtId="0" fontId="7" fillId="0" borderId="0" xfId="0" applyFont="1" applyAlignment="1">
      <alignment horizontal="left" vertical="top" wrapText="1"/>
    </xf>
    <xf numFmtId="0" fontId="7" fillId="0" borderId="0" xfId="0" applyFont="1" applyAlignment="1">
      <alignment horizontal="left" vertical="top"/>
    </xf>
    <xf numFmtId="0" fontId="7" fillId="0" borderId="11" xfId="0" applyFont="1" applyBorder="1" applyAlignment="1">
      <alignment horizontal="left" vertical="top"/>
    </xf>
    <xf numFmtId="0" fontId="7" fillId="0" borderId="8" xfId="0" applyFont="1" applyBorder="1" applyAlignment="1">
      <alignment horizontal="left" vertical="top" wrapText="1"/>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0" borderId="11" xfId="0" applyFont="1" applyBorder="1" applyAlignment="1">
      <alignment horizontal="left" vertical="top" wrapText="1"/>
    </xf>
    <xf numFmtId="0" fontId="6" fillId="35" borderId="4" xfId="0" applyFont="1" applyFill="1" applyBorder="1" applyAlignment="1">
      <alignment horizontal="left" vertical="center"/>
    </xf>
    <xf numFmtId="0" fontId="6" fillId="35" borderId="5" xfId="0" applyFont="1" applyFill="1" applyBorder="1" applyAlignment="1">
      <alignment horizontal="left" vertical="center"/>
    </xf>
    <xf numFmtId="0" fontId="6" fillId="35" borderId="6" xfId="0" applyFont="1" applyFill="1" applyBorder="1" applyAlignment="1">
      <alignment horizontal="left" vertical="center"/>
    </xf>
    <xf numFmtId="0" fontId="7" fillId="34" borderId="10" xfId="0" applyFont="1" applyFill="1" applyBorder="1" applyAlignment="1">
      <alignment horizontal="center" vertical="top" wrapText="1"/>
    </xf>
    <xf numFmtId="0" fontId="7" fillId="34" borderId="0" xfId="0" applyFont="1" applyFill="1" applyAlignment="1">
      <alignment horizontal="center" vertical="top" wrapText="1"/>
    </xf>
    <xf numFmtId="0" fontId="7" fillId="34" borderId="11" xfId="0" applyFont="1" applyFill="1" applyBorder="1" applyAlignment="1">
      <alignment horizontal="center" vertical="top" wrapText="1"/>
    </xf>
    <xf numFmtId="0" fontId="7" fillId="0" borderId="9" xfId="0" applyFont="1" applyBorder="1" applyAlignment="1">
      <alignment horizontal="left" vertical="top" wrapText="1"/>
    </xf>
    <xf numFmtId="0" fontId="16" fillId="2" borderId="10" xfId="0" applyFont="1" applyFill="1" applyBorder="1" applyAlignment="1" applyProtection="1">
      <alignment horizontal="center" vertical="center"/>
      <protection locked="0"/>
    </xf>
    <xf numFmtId="0" fontId="16" fillId="2" borderId="0" xfId="0" applyFont="1" applyFill="1" applyAlignment="1" applyProtection="1">
      <alignment horizontal="center" vertical="center"/>
      <protection locked="0"/>
    </xf>
    <xf numFmtId="0" fontId="6" fillId="30" borderId="10" xfId="0" applyFont="1" applyFill="1" applyBorder="1" applyAlignment="1" applyProtection="1">
      <alignment horizontal="left"/>
      <protection locked="0"/>
    </xf>
    <xf numFmtId="0" fontId="6" fillId="30" borderId="0" xfId="0" applyFont="1" applyFill="1" applyAlignment="1" applyProtection="1">
      <alignment horizontal="left"/>
      <protection locked="0"/>
    </xf>
    <xf numFmtId="0" fontId="6" fillId="31" borderId="0" xfId="0" applyFont="1" applyFill="1" applyAlignment="1" applyProtection="1">
      <alignment horizontal="center"/>
      <protection locked="0"/>
    </xf>
    <xf numFmtId="0" fontId="6" fillId="3" borderId="4" xfId="0" applyFont="1" applyFill="1" applyBorder="1" applyAlignment="1" applyProtection="1">
      <alignment horizontal="center"/>
      <protection locked="0"/>
    </xf>
    <xf numFmtId="0" fontId="6" fillId="3" borderId="5" xfId="0" applyFont="1" applyFill="1" applyBorder="1" applyAlignment="1" applyProtection="1">
      <alignment horizontal="center"/>
      <protection locked="0"/>
    </xf>
    <xf numFmtId="0" fontId="6" fillId="3" borderId="6" xfId="0" applyFont="1" applyFill="1" applyBorder="1" applyAlignment="1" applyProtection="1">
      <alignment horizontal="center"/>
      <protection locked="0"/>
    </xf>
    <xf numFmtId="0" fontId="6" fillId="33" borderId="4" xfId="0" applyFont="1" applyFill="1" applyBorder="1" applyAlignment="1" applyProtection="1">
      <alignment horizontal="center"/>
      <protection locked="0"/>
    </xf>
    <xf numFmtId="0" fontId="6" fillId="33" borderId="5" xfId="0" applyFont="1" applyFill="1" applyBorder="1" applyAlignment="1" applyProtection="1">
      <alignment horizontal="center"/>
      <protection locked="0"/>
    </xf>
    <xf numFmtId="0" fontId="6" fillId="33" borderId="6" xfId="0" applyFont="1" applyFill="1" applyBorder="1" applyAlignment="1" applyProtection="1">
      <alignment horizontal="center"/>
      <protection locked="0"/>
    </xf>
    <xf numFmtId="0" fontId="15" fillId="0" borderId="11" xfId="2" applyFont="1" applyBorder="1" applyAlignment="1" applyProtection="1">
      <alignment horizontal="center" vertical="center" textRotation="90"/>
      <protection locked="0"/>
    </xf>
    <xf numFmtId="0" fontId="15" fillId="0" borderId="0" xfId="2" applyFont="1" applyAlignment="1" applyProtection="1">
      <alignment horizontal="center" vertical="center"/>
      <protection locked="0"/>
    </xf>
    <xf numFmtId="0" fontId="7" fillId="0" borderId="0" xfId="0" applyFont="1" applyAlignment="1">
      <alignment vertical="top" wrapText="1"/>
    </xf>
    <xf numFmtId="0" fontId="7" fillId="0" borderId="0" xfId="0" applyFont="1" applyAlignment="1">
      <alignment vertical="top"/>
    </xf>
    <xf numFmtId="0" fontId="40" fillId="2" borderId="0" xfId="0" applyFont="1" applyFill="1" applyAlignment="1">
      <alignment horizontal="center" vertical="center"/>
    </xf>
    <xf numFmtId="0" fontId="6" fillId="35" borderId="0" xfId="0" applyFont="1" applyFill="1" applyAlignment="1">
      <alignment horizontal="center" vertical="center"/>
    </xf>
    <xf numFmtId="0" fontId="12" fillId="0" borderId="0" xfId="0" applyFont="1"/>
  </cellXfs>
  <cellStyles count="46">
    <cellStyle name="20% - Akzent1" xfId="4" xr:uid="{00000000-0005-0000-0000-000000000000}"/>
    <cellStyle name="20% - Akzent2" xfId="5" xr:uid="{00000000-0005-0000-0000-000001000000}"/>
    <cellStyle name="20% - Akzent3" xfId="6" xr:uid="{00000000-0005-0000-0000-000002000000}"/>
    <cellStyle name="20% - Akzent4" xfId="7" xr:uid="{00000000-0005-0000-0000-000003000000}"/>
    <cellStyle name="20% - Akzent5" xfId="8" xr:uid="{00000000-0005-0000-0000-000004000000}"/>
    <cellStyle name="20% - Akzent6" xfId="9" xr:uid="{00000000-0005-0000-0000-000005000000}"/>
    <cellStyle name="40% - Akzent1" xfId="10" xr:uid="{00000000-0005-0000-0000-000006000000}"/>
    <cellStyle name="40% - Akzent2" xfId="11" xr:uid="{00000000-0005-0000-0000-000007000000}"/>
    <cellStyle name="40% - Akzent3" xfId="12" xr:uid="{00000000-0005-0000-0000-000008000000}"/>
    <cellStyle name="40% - Akzent4" xfId="13" xr:uid="{00000000-0005-0000-0000-000009000000}"/>
    <cellStyle name="40% - Akzent5" xfId="14" xr:uid="{00000000-0005-0000-0000-00000A000000}"/>
    <cellStyle name="40% - Akzent6" xfId="15" xr:uid="{00000000-0005-0000-0000-00000B000000}"/>
    <cellStyle name="60% - Akzent1" xfId="16" xr:uid="{00000000-0005-0000-0000-00000C000000}"/>
    <cellStyle name="60% - Akzent2" xfId="17" xr:uid="{00000000-0005-0000-0000-00000D000000}"/>
    <cellStyle name="60% - Akzent3" xfId="18" xr:uid="{00000000-0005-0000-0000-00000E000000}"/>
    <cellStyle name="60% - Akzent4" xfId="19" xr:uid="{00000000-0005-0000-0000-00000F000000}"/>
    <cellStyle name="60% - Akzent5" xfId="20" xr:uid="{00000000-0005-0000-0000-000010000000}"/>
    <cellStyle name="60% - Akzent6" xfId="21" xr:uid="{00000000-0005-0000-0000-000011000000}"/>
    <cellStyle name="Akzent1 2" xfId="22" xr:uid="{00000000-0005-0000-0000-000012000000}"/>
    <cellStyle name="Akzent2 2" xfId="23" xr:uid="{00000000-0005-0000-0000-000013000000}"/>
    <cellStyle name="Akzent3 2" xfId="24" xr:uid="{00000000-0005-0000-0000-000014000000}"/>
    <cellStyle name="Akzent4 2" xfId="25" xr:uid="{00000000-0005-0000-0000-000015000000}"/>
    <cellStyle name="Akzent5 2" xfId="26" xr:uid="{00000000-0005-0000-0000-000016000000}"/>
    <cellStyle name="Akzent6 2" xfId="27" xr:uid="{00000000-0005-0000-0000-000017000000}"/>
    <cellStyle name="Ausgabe 2" xfId="28" xr:uid="{00000000-0005-0000-0000-000018000000}"/>
    <cellStyle name="Berechnung 2" xfId="29" xr:uid="{00000000-0005-0000-0000-000019000000}"/>
    <cellStyle name="Eingabe 2" xfId="30" xr:uid="{00000000-0005-0000-0000-00001A000000}"/>
    <cellStyle name="Ergebnis 2" xfId="31" xr:uid="{00000000-0005-0000-0000-00001B000000}"/>
    <cellStyle name="Erklärender Text 2" xfId="32" xr:uid="{00000000-0005-0000-0000-00001C000000}"/>
    <cellStyle name="Euro" xfId="33" xr:uid="{00000000-0005-0000-0000-00001D000000}"/>
    <cellStyle name="Gut 2" xfId="34" xr:uid="{00000000-0005-0000-0000-00001E000000}"/>
    <cellStyle name="Neutral 2" xfId="35" xr:uid="{00000000-0005-0000-0000-00001F000000}"/>
    <cellStyle name="Normal" xfId="0" builtinId="0"/>
    <cellStyle name="Notiz 2" xfId="36" xr:uid="{00000000-0005-0000-0000-000020000000}"/>
    <cellStyle name="Percent" xfId="3" builtinId="5"/>
    <cellStyle name="Schlecht 2" xfId="37" xr:uid="{00000000-0005-0000-0000-000022000000}"/>
    <cellStyle name="Standard 2" xfId="2" xr:uid="{00000000-0005-0000-0000-000024000000}"/>
    <cellStyle name="Standard 3" xfId="1" xr:uid="{00000000-0005-0000-0000-000025000000}"/>
    <cellStyle name="Überschrift 1 2" xfId="39" xr:uid="{00000000-0005-0000-0000-000026000000}"/>
    <cellStyle name="Überschrift 2 2" xfId="40" xr:uid="{00000000-0005-0000-0000-000027000000}"/>
    <cellStyle name="Überschrift 3 2" xfId="41" xr:uid="{00000000-0005-0000-0000-000028000000}"/>
    <cellStyle name="Überschrift 4 2" xfId="42" xr:uid="{00000000-0005-0000-0000-000029000000}"/>
    <cellStyle name="Überschrift 5" xfId="38" xr:uid="{00000000-0005-0000-0000-00002A000000}"/>
    <cellStyle name="Verknüpfte Zelle 2" xfId="43" xr:uid="{00000000-0005-0000-0000-00002B000000}"/>
    <cellStyle name="Warnender Text 2" xfId="44" xr:uid="{00000000-0005-0000-0000-00002C000000}"/>
    <cellStyle name="Zelle überprüfen 2" xfId="45" xr:uid="{00000000-0005-0000-0000-00002D000000}"/>
  </cellStyles>
  <dxfs count="6">
    <dxf>
      <font>
        <color auto="1"/>
      </font>
      <fill>
        <patternFill>
          <bgColor rgb="FFC6EFCE"/>
        </patternFill>
      </fill>
    </dxf>
    <dxf>
      <font>
        <color auto="1"/>
      </font>
      <fill>
        <patternFill>
          <bgColor rgb="FFFFEB9C"/>
        </patternFill>
      </fill>
    </dxf>
    <dxf>
      <fill>
        <patternFill>
          <bgColor rgb="FFFFC7CE"/>
        </patternFill>
      </fill>
    </dxf>
    <dxf>
      <font>
        <color auto="1"/>
      </font>
      <fill>
        <patternFill>
          <bgColor rgb="FFC6EFCE"/>
        </patternFill>
      </fill>
    </dxf>
    <dxf>
      <font>
        <color auto="1"/>
      </font>
      <fill>
        <patternFill>
          <bgColor rgb="FFFFEB9C"/>
        </patternFill>
      </fill>
    </dxf>
    <dxf>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0F407F"/>
      <rgbColor rgb="00CCFFCC"/>
      <rgbColor rgb="00FFFF99"/>
      <rgbColor rgb="00FFCB6D"/>
      <rgbColor rgb="00FF99CC"/>
      <rgbColor rgb="00FAA20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8DA8D"/>
      <color rgb="FF79E1A3"/>
      <color rgb="FF2AC067"/>
      <color rgb="FF06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285750</xdr:colOff>
          <xdr:row>0</xdr:row>
          <xdr:rowOff>0</xdr:rowOff>
        </xdr:from>
        <xdr:to>
          <xdr:col>9</xdr:col>
          <xdr:colOff>390525</xdr:colOff>
          <xdr:row>0</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H" sz="10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0</xdr:rowOff>
        </xdr:from>
        <xdr:to>
          <xdr:col>9</xdr:col>
          <xdr:colOff>371475</xdr:colOff>
          <xdr:row>0</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H" sz="10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0</xdr:row>
          <xdr:rowOff>114300</xdr:rowOff>
        </xdr:from>
        <xdr:to>
          <xdr:col>5</xdr:col>
          <xdr:colOff>228600</xdr:colOff>
          <xdr:row>0</xdr:row>
          <xdr:rowOff>419100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0</xdr:row>
          <xdr:rowOff>504825</xdr:rowOff>
        </xdr:from>
        <xdr:to>
          <xdr:col>5</xdr:col>
          <xdr:colOff>228600</xdr:colOff>
          <xdr:row>2</xdr:row>
          <xdr:rowOff>85725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0</xdr:row>
          <xdr:rowOff>114300</xdr:rowOff>
        </xdr:from>
        <xdr:to>
          <xdr:col>8</xdr:col>
          <xdr:colOff>200025</xdr:colOff>
          <xdr:row>1</xdr:row>
          <xdr:rowOff>180975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xdr:row>
          <xdr:rowOff>0</xdr:rowOff>
        </xdr:from>
        <xdr:to>
          <xdr:col>8</xdr:col>
          <xdr:colOff>209550</xdr:colOff>
          <xdr:row>3</xdr:row>
          <xdr:rowOff>114300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04_Gro&#223;PM\04_Wissenswerkstatt\20_SOS-Methode_JH\10_Vorlagen\20_Neues_CI\13_Freigegeben%20V%203.0\8_Kapitel_Risikomgt\5.2-3_Vertrags&#252;bersicht_Zahlungsplan_v2.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WINDOWS\Profiles\twaldher\Eigene%20Dateien\PM_Wissen\Risikomanagement\Risikoprofil_Beispiel_ausgef&#252;ll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Hinweise"/>
      <sheetName val="Vertragsübersicht"/>
      <sheetName val="Meilensteine-Zahlungsplan"/>
      <sheetName val="(Stammdaten)"/>
    </sheetNames>
    <sheetDataSet>
      <sheetData sheetId="0"/>
      <sheetData sheetId="1"/>
      <sheetData sheetId="2"/>
      <sheetData sheetId="3"/>
      <sheetData sheetId="4">
        <row r="9">
          <cell r="B9" t="str">
            <v>offen</v>
          </cell>
          <cell r="C9" t="str">
            <v>Gesamtprojekt</v>
          </cell>
          <cell r="D9" t="str">
            <v>ja</v>
          </cell>
          <cell r="E9" t="str">
            <v>offen</v>
          </cell>
          <cell r="F9" t="str">
            <v>fest</v>
          </cell>
        </row>
        <row r="10">
          <cell r="B10" t="str">
            <v>in Arbeit</v>
          </cell>
          <cell r="C10" t="str">
            <v>Teilprojekt1</v>
          </cell>
          <cell r="D10" t="str">
            <v>nein</v>
          </cell>
          <cell r="E10" t="str">
            <v>bereitgestellt</v>
          </cell>
          <cell r="F10" t="str">
            <v>offen</v>
          </cell>
        </row>
        <row r="11">
          <cell r="B11" t="str">
            <v>unterschrieben</v>
          </cell>
          <cell r="C11" t="str">
            <v>Teilprojekt2</v>
          </cell>
          <cell r="E11" t="str">
            <v>abgenommen</v>
          </cell>
        </row>
        <row r="12">
          <cell r="C12" t="str">
            <v>Teilprojekt3</v>
          </cell>
          <cell r="E12" t="str">
            <v>nicht abgenommen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Risikoprofil_LIESMICH"/>
      <sheetName val="1-Risikoprofil_Deckblatt"/>
      <sheetName val="2-Risikoprofil_Datenblatt"/>
      <sheetName val="3-Risikoprofil_Checkliste_Light"/>
      <sheetName val="4-Risikoprofil_Checkliste_Voll"/>
      <sheetName val="9-Risikoprofil_TECHNIK"/>
    </sheetNames>
    <sheetDataSet>
      <sheetData sheetId="0"/>
      <sheetData sheetId="1">
        <row r="1">
          <cell r="A1" t="str">
            <v>Risikoprofil  (Vollversion - ausreichend ausgefüllt)</v>
          </cell>
        </row>
      </sheetData>
      <sheetData sheetId="2">
        <row r="9">
          <cell r="G9" t="str">
            <v>Vollversion</v>
          </cell>
        </row>
      </sheetData>
      <sheetData sheetId="3">
        <row r="8">
          <cell r="J8" t="str">
            <v>OK</v>
          </cell>
        </row>
      </sheetData>
      <sheetData sheetId="4">
        <row r="6">
          <cell r="C6" t="str">
            <v>ausreichend ausgefüllt</v>
          </cell>
        </row>
      </sheetData>
      <sheetData sheetId="5">
        <row r="5">
          <cell r="B5" t="b">
            <v>1</v>
          </cell>
        </row>
      </sheetData>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O30"/>
  <sheetViews>
    <sheetView showGridLines="0" tabSelected="1" zoomScaleNormal="100" workbookViewId="0">
      <selection activeCell="B7" sqref="B7"/>
    </sheetView>
  </sheetViews>
  <sheetFormatPr defaultColWidth="0" defaultRowHeight="15" customHeight="1" zeroHeight="1" x14ac:dyDescent="0.2"/>
  <cols>
    <col min="1" max="1" width="1.42578125" style="2" customWidth="1"/>
    <col min="2" max="2" width="129.28515625" style="3" customWidth="1"/>
    <col min="3" max="3" width="1.42578125" style="4" customWidth="1"/>
    <col min="4" max="4" width="9.140625" style="4" customWidth="1"/>
    <col min="5" max="6" width="9.140625" style="5" customWidth="1"/>
    <col min="7" max="15" width="0" style="2" hidden="1" customWidth="1"/>
    <col min="16" max="16384" width="9.140625" style="2" hidden="1"/>
  </cols>
  <sheetData>
    <row r="1" spans="1:15" ht="42.6" customHeight="1" x14ac:dyDescent="0.2"/>
    <row r="2" spans="1:15" ht="15" customHeight="1" x14ac:dyDescent="0.2">
      <c r="A2" s="6"/>
      <c r="B2" s="7"/>
      <c r="C2" s="8"/>
    </row>
    <row r="3" spans="1:15" ht="38.25" x14ac:dyDescent="0.2">
      <c r="A3" s="6"/>
      <c r="B3" s="72" t="s">
        <v>151</v>
      </c>
      <c r="C3" s="8"/>
    </row>
    <row r="4" spans="1:15" ht="33.75" x14ac:dyDescent="0.2">
      <c r="A4" s="6"/>
      <c r="B4" s="73" t="s">
        <v>99</v>
      </c>
      <c r="C4" s="9"/>
      <c r="D4" s="10"/>
      <c r="E4" s="10"/>
      <c r="F4" s="10"/>
      <c r="G4" s="10"/>
      <c r="H4" s="10"/>
      <c r="I4" s="10"/>
      <c r="J4" s="10"/>
      <c r="K4" s="10"/>
      <c r="L4" s="10"/>
      <c r="M4" s="10"/>
      <c r="N4" s="10"/>
      <c r="O4" s="10"/>
    </row>
    <row r="5" spans="1:15" ht="27" customHeight="1" x14ac:dyDescent="0.2">
      <c r="A5" s="6"/>
      <c r="B5" s="74" t="s">
        <v>6</v>
      </c>
      <c r="C5" s="9"/>
      <c r="D5" s="10"/>
      <c r="E5" s="10"/>
      <c r="F5" s="10"/>
      <c r="G5" s="10"/>
      <c r="H5" s="10"/>
      <c r="I5" s="10"/>
      <c r="J5" s="10"/>
      <c r="K5" s="10"/>
      <c r="L5" s="10"/>
      <c r="M5" s="10"/>
      <c r="N5" s="10"/>
      <c r="O5" s="10"/>
    </row>
    <row r="6" spans="1:15" ht="26.25" x14ac:dyDescent="0.2">
      <c r="A6" s="6"/>
      <c r="B6" s="11"/>
      <c r="C6" s="9"/>
      <c r="D6" s="10"/>
      <c r="E6" s="10"/>
      <c r="F6" s="10"/>
      <c r="G6" s="10"/>
      <c r="H6" s="10"/>
      <c r="I6" s="10"/>
      <c r="J6" s="10"/>
      <c r="K6" s="10"/>
      <c r="L6" s="10"/>
      <c r="M6" s="10"/>
      <c r="N6" s="10"/>
      <c r="O6" s="10"/>
    </row>
    <row r="7" spans="1:15" ht="67.5" customHeight="1" x14ac:dyDescent="0.2">
      <c r="A7" s="6"/>
      <c r="B7" s="75" t="s">
        <v>179</v>
      </c>
      <c r="C7" s="8"/>
    </row>
    <row r="8" spans="1:15" ht="15" customHeight="1" x14ac:dyDescent="0.2">
      <c r="A8" s="12"/>
      <c r="B8" s="13"/>
      <c r="C8" s="14"/>
    </row>
    <row r="9" spans="1:15" ht="21" x14ac:dyDescent="0.2">
      <c r="A9" s="12"/>
      <c r="B9" s="76" t="s">
        <v>152</v>
      </c>
      <c r="C9" s="14"/>
    </row>
    <row r="10" spans="1:15" ht="21" customHeight="1" x14ac:dyDescent="0.2">
      <c r="A10" s="12"/>
      <c r="B10" s="77" t="s">
        <v>170</v>
      </c>
      <c r="C10" s="14"/>
    </row>
    <row r="11" spans="1:15" ht="15" customHeight="1" x14ac:dyDescent="0.2">
      <c r="A11" s="12"/>
      <c r="B11" s="15"/>
      <c r="C11" s="14"/>
    </row>
    <row r="12" spans="1:15" ht="15" customHeight="1" x14ac:dyDescent="0.2">
      <c r="A12" s="12"/>
      <c r="B12" s="13"/>
      <c r="C12" s="14"/>
    </row>
    <row r="13" spans="1:15" ht="30.75" customHeight="1" x14ac:dyDescent="0.2"/>
    <row r="14" spans="1:15" ht="15" customHeight="1" x14ac:dyDescent="0.2"/>
    <row r="15" spans="1:15" ht="15" customHeight="1" x14ac:dyDescent="0.2"/>
    <row r="16" spans="1:15"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sheetData>
  <pageMargins left="0.70866141732283472" right="0.70866141732283472" top="1.4173228346456694" bottom="0.74803149606299213" header="0.19685039370078741" footer="0.19685039370078741"/>
  <pageSetup paperSize="9" orientation="landscape" r:id="rId1"/>
  <headerFooter alignWithMargins="0">
    <oddHeader>&amp;L&amp;G&amp;R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anchor moveWithCells="1" sizeWithCells="1">
                  <from>
                    <xdr:col>7</xdr:col>
                    <xdr:colOff>285750</xdr:colOff>
                    <xdr:row>0</xdr:row>
                    <xdr:rowOff>0</xdr:rowOff>
                  </from>
                  <to>
                    <xdr:col>9</xdr:col>
                    <xdr:colOff>390525</xdr:colOff>
                    <xdr:row>0</xdr:row>
                    <xdr:rowOff>0</xdr:rowOff>
                  </to>
                </anchor>
              </controlPr>
            </control>
          </mc:Choice>
        </mc:AlternateContent>
        <mc:AlternateContent xmlns:mc="http://schemas.openxmlformats.org/markup-compatibility/2006">
          <mc:Choice Requires="x14">
            <control shapeId="13314" r:id="rId6" name="Button 2">
              <controlPr defaultSize="0" print="0" autoFill="0" autoPict="0">
                <anchor moveWithCells="1" sizeWithCells="1">
                  <from>
                    <xdr:col>7</xdr:col>
                    <xdr:colOff>266700</xdr:colOff>
                    <xdr:row>0</xdr:row>
                    <xdr:rowOff>0</xdr:rowOff>
                  </from>
                  <to>
                    <xdr:col>9</xdr:col>
                    <xdr:colOff>371475</xdr:colOff>
                    <xdr:row>0</xdr:row>
                    <xdr:rowOff>0</xdr:rowOff>
                  </to>
                </anchor>
              </controlPr>
            </control>
          </mc:Choice>
        </mc:AlternateContent>
        <mc:AlternateContent xmlns:mc="http://schemas.openxmlformats.org/markup-compatibility/2006">
          <mc:Choice Requires="x14">
            <control shapeId="13315" r:id="rId7" name="Button 3">
              <controlPr defaultSize="0" print="0" autoFill="0" autoPict="0" macro="[0]!PrintAll">
                <anchor moveWithCells="1" sizeWithCells="1">
                  <from>
                    <xdr:col>3</xdr:col>
                    <xdr:colOff>123825</xdr:colOff>
                    <xdr:row>0</xdr:row>
                    <xdr:rowOff>114300</xdr:rowOff>
                  </from>
                  <to>
                    <xdr:col>5</xdr:col>
                    <xdr:colOff>228600</xdr:colOff>
                    <xdr:row>0</xdr:row>
                    <xdr:rowOff>419100</xdr:rowOff>
                  </to>
                </anchor>
              </controlPr>
            </control>
          </mc:Choice>
        </mc:AlternateContent>
        <mc:AlternateContent xmlns:mc="http://schemas.openxmlformats.org/markup-compatibility/2006">
          <mc:Choice Requires="x14">
            <control shapeId="13316" r:id="rId8" name="Button 4">
              <controlPr defaultSize="0" print="0" autoFill="0" autoPict="0" macro="[0]!PrintContent">
                <anchor moveWithCells="1" sizeWithCells="1">
                  <from>
                    <xdr:col>3</xdr:col>
                    <xdr:colOff>123825</xdr:colOff>
                    <xdr:row>0</xdr:row>
                    <xdr:rowOff>504825</xdr:rowOff>
                  </from>
                  <to>
                    <xdr:col>5</xdr:col>
                    <xdr:colOff>228600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I80"/>
  <sheetViews>
    <sheetView showGridLines="0" topLeftCell="A52" zoomScale="90" zoomScaleNormal="90" workbookViewId="0">
      <selection activeCell="D69" sqref="D69"/>
    </sheetView>
  </sheetViews>
  <sheetFormatPr defaultColWidth="0" defaultRowHeight="15" zeroHeight="1" x14ac:dyDescent="0.2"/>
  <cols>
    <col min="1" max="1" width="3.28515625" style="18" customWidth="1"/>
    <col min="2" max="2" width="9.28515625" style="18" customWidth="1"/>
    <col min="3" max="3" width="26.7109375" style="18" customWidth="1"/>
    <col min="4" max="4" width="20.140625" style="18" customWidth="1"/>
    <col min="5" max="5" width="25.85546875" style="18" customWidth="1"/>
    <col min="6" max="6" width="94" style="18" customWidth="1"/>
    <col min="7" max="9" width="9.140625" style="18" customWidth="1"/>
    <col min="10" max="16384" width="9.140625" style="18" hidden="1"/>
  </cols>
  <sheetData>
    <row r="1" spans="2:6" s="1" customFormat="1" ht="18.75" customHeight="1" x14ac:dyDescent="0.2">
      <c r="B1" s="94" t="s">
        <v>1</v>
      </c>
      <c r="C1" s="95"/>
      <c r="D1" s="95"/>
      <c r="E1" s="95"/>
      <c r="F1" s="96"/>
    </row>
    <row r="2" spans="2:6" x14ac:dyDescent="0.2">
      <c r="B2" s="19" t="s">
        <v>0</v>
      </c>
      <c r="C2" s="87" t="s">
        <v>82</v>
      </c>
      <c r="D2" s="87"/>
      <c r="E2" s="87"/>
      <c r="F2" s="93"/>
    </row>
    <row r="3" spans="2:6" x14ac:dyDescent="0.2">
      <c r="B3" s="19" t="s">
        <v>0</v>
      </c>
      <c r="C3" s="87" t="s">
        <v>178</v>
      </c>
      <c r="D3" s="87"/>
      <c r="E3" s="87"/>
      <c r="F3" s="93"/>
    </row>
    <row r="4" spans="2:6" x14ac:dyDescent="0.2">
      <c r="B4" s="17" t="s">
        <v>0</v>
      </c>
      <c r="C4" s="90" t="s">
        <v>81</v>
      </c>
      <c r="D4" s="90"/>
      <c r="E4" s="90"/>
      <c r="F4" s="100"/>
    </row>
    <row r="5" spans="2:6" x14ac:dyDescent="0.2">
      <c r="B5" s="53"/>
      <c r="C5" s="54"/>
      <c r="D5" s="54"/>
      <c r="E5" s="54"/>
      <c r="F5" s="54"/>
    </row>
    <row r="6" spans="2:6" s="1" customFormat="1" x14ac:dyDescent="0.2">
      <c r="B6" s="94" t="s">
        <v>80</v>
      </c>
      <c r="C6" s="95"/>
      <c r="D6" s="95"/>
      <c r="E6" s="95"/>
      <c r="F6" s="96"/>
    </row>
    <row r="7" spans="2:6" x14ac:dyDescent="0.2">
      <c r="B7" s="19" t="s">
        <v>0</v>
      </c>
      <c r="C7" s="87" t="s">
        <v>58</v>
      </c>
      <c r="D7" s="87"/>
      <c r="E7" s="87"/>
      <c r="F7" s="93"/>
    </row>
    <row r="8" spans="2:6" x14ac:dyDescent="0.2">
      <c r="B8" s="17" t="s">
        <v>0</v>
      </c>
      <c r="C8" s="90" t="s">
        <v>59</v>
      </c>
      <c r="D8" s="90"/>
      <c r="E8" s="90"/>
      <c r="F8" s="100"/>
    </row>
    <row r="9" spans="2:6" x14ac:dyDescent="0.2">
      <c r="B9" s="20"/>
      <c r="C9" s="30"/>
      <c r="D9" s="30"/>
      <c r="E9" s="30"/>
      <c r="F9" s="30"/>
    </row>
    <row r="10" spans="2:6" s="1" customFormat="1" x14ac:dyDescent="0.2">
      <c r="B10" s="94" t="s">
        <v>2</v>
      </c>
      <c r="C10" s="95"/>
      <c r="D10" s="95"/>
      <c r="E10" s="95"/>
      <c r="F10" s="96"/>
    </row>
    <row r="11" spans="2:6" x14ac:dyDescent="0.2">
      <c r="B11" s="19" t="s">
        <v>0</v>
      </c>
      <c r="C11" s="87" t="s">
        <v>164</v>
      </c>
      <c r="D11" s="88"/>
      <c r="E11" s="88"/>
      <c r="F11" s="89"/>
    </row>
    <row r="12" spans="2:6" x14ac:dyDescent="0.2">
      <c r="B12" s="17" t="s">
        <v>0</v>
      </c>
      <c r="C12" s="90" t="s">
        <v>165</v>
      </c>
      <c r="D12" s="91"/>
      <c r="E12" s="91"/>
      <c r="F12" s="92"/>
    </row>
    <row r="13" spans="2:6" x14ac:dyDescent="0.2"/>
    <row r="14" spans="2:6" s="1" customFormat="1" x14ac:dyDescent="0.2">
      <c r="B14" s="94" t="s">
        <v>3</v>
      </c>
      <c r="C14" s="95"/>
      <c r="D14" s="95"/>
      <c r="E14" s="95"/>
      <c r="F14" s="96"/>
    </row>
    <row r="15" spans="2:6" x14ac:dyDescent="0.2">
      <c r="B15" s="19" t="s">
        <v>0</v>
      </c>
      <c r="C15" s="87" t="s">
        <v>138</v>
      </c>
      <c r="D15" s="87"/>
      <c r="E15" s="87"/>
      <c r="F15" s="93"/>
    </row>
    <row r="16" spans="2:6" x14ac:dyDescent="0.2">
      <c r="B16" s="19" t="s">
        <v>0</v>
      </c>
      <c r="C16" s="87" t="s">
        <v>145</v>
      </c>
      <c r="D16" s="87"/>
      <c r="E16" s="87"/>
      <c r="F16" s="93"/>
    </row>
    <row r="17" spans="2:6" ht="34.5" customHeight="1" x14ac:dyDescent="0.2">
      <c r="B17" s="19" t="s">
        <v>0</v>
      </c>
      <c r="C17" s="87" t="s">
        <v>146</v>
      </c>
      <c r="D17" s="87"/>
      <c r="E17" s="87"/>
      <c r="F17" s="93"/>
    </row>
    <row r="18" spans="2:6" ht="37.5" customHeight="1" x14ac:dyDescent="0.2">
      <c r="B18" s="17" t="s">
        <v>0</v>
      </c>
      <c r="C18" s="90" t="s">
        <v>139</v>
      </c>
      <c r="D18" s="90"/>
      <c r="E18" s="90"/>
      <c r="F18" s="100"/>
    </row>
    <row r="19" spans="2:6" x14ac:dyDescent="0.2"/>
    <row r="20" spans="2:6" s="1" customFormat="1" x14ac:dyDescent="0.2">
      <c r="B20" s="94" t="s">
        <v>83</v>
      </c>
      <c r="C20" s="95"/>
      <c r="D20" s="95"/>
      <c r="E20" s="95"/>
      <c r="F20" s="96"/>
    </row>
    <row r="21" spans="2:6" x14ac:dyDescent="0.2">
      <c r="B21" s="85" t="s">
        <v>7</v>
      </c>
      <c r="C21" s="84" t="s">
        <v>8</v>
      </c>
      <c r="D21" s="84" t="s">
        <v>9</v>
      </c>
      <c r="E21" s="84" t="s">
        <v>10</v>
      </c>
      <c r="F21" s="86" t="s">
        <v>11</v>
      </c>
    </row>
    <row r="22" spans="2:6" x14ac:dyDescent="0.2">
      <c r="B22" s="78" t="s">
        <v>62</v>
      </c>
      <c r="C22" s="25" t="s">
        <v>12</v>
      </c>
      <c r="D22" s="25" t="s">
        <v>13</v>
      </c>
      <c r="E22" s="25" t="s">
        <v>16</v>
      </c>
      <c r="F22" s="79" t="s">
        <v>166</v>
      </c>
    </row>
    <row r="23" spans="2:6" x14ac:dyDescent="0.2">
      <c r="B23" s="78" t="s">
        <v>63</v>
      </c>
      <c r="C23" s="25" t="s">
        <v>15</v>
      </c>
      <c r="D23" s="25" t="s">
        <v>18</v>
      </c>
      <c r="E23" s="25" t="s">
        <v>60</v>
      </c>
      <c r="F23" s="79" t="s">
        <v>167</v>
      </c>
    </row>
    <row r="24" spans="2:6" x14ac:dyDescent="0.2">
      <c r="B24" s="78" t="s">
        <v>64</v>
      </c>
      <c r="C24" s="25" t="s">
        <v>17</v>
      </c>
      <c r="D24" s="25" t="s">
        <v>18</v>
      </c>
      <c r="E24" s="25" t="s">
        <v>16</v>
      </c>
      <c r="F24" s="79" t="s">
        <v>168</v>
      </c>
    </row>
    <row r="25" spans="2:6" ht="30" x14ac:dyDescent="0.2">
      <c r="B25" s="78" t="s">
        <v>65</v>
      </c>
      <c r="C25" s="25" t="s">
        <v>19</v>
      </c>
      <c r="D25" s="25" t="s">
        <v>18</v>
      </c>
      <c r="E25" s="25" t="s">
        <v>16</v>
      </c>
      <c r="F25" s="79" t="s">
        <v>61</v>
      </c>
    </row>
    <row r="26" spans="2:6" x14ac:dyDescent="0.2">
      <c r="B26" s="80" t="s">
        <v>66</v>
      </c>
      <c r="C26" s="25" t="s">
        <v>171</v>
      </c>
      <c r="D26" s="25" t="s">
        <v>20</v>
      </c>
      <c r="E26" s="25" t="s">
        <v>16</v>
      </c>
      <c r="F26" s="79" t="s">
        <v>21</v>
      </c>
    </row>
    <row r="27" spans="2:6" ht="30" x14ac:dyDescent="0.2">
      <c r="B27" s="21" t="s">
        <v>67</v>
      </c>
      <c r="C27" s="22" t="s">
        <v>22</v>
      </c>
      <c r="D27" s="22" t="s">
        <v>18</v>
      </c>
      <c r="E27" s="22" t="s">
        <v>16</v>
      </c>
      <c r="F27" s="23" t="s">
        <v>68</v>
      </c>
    </row>
    <row r="28" spans="2:6" x14ac:dyDescent="0.2">
      <c r="B28" s="97" t="s">
        <v>137</v>
      </c>
      <c r="C28" s="98"/>
      <c r="D28" s="98"/>
      <c r="E28" s="98"/>
      <c r="F28" s="99"/>
    </row>
    <row r="29" spans="2:6" ht="150" x14ac:dyDescent="0.2">
      <c r="B29" s="81" t="s">
        <v>70</v>
      </c>
      <c r="C29" s="82" t="s">
        <v>45</v>
      </c>
      <c r="D29" s="82" t="s">
        <v>18</v>
      </c>
      <c r="E29" s="82" t="s">
        <v>60</v>
      </c>
      <c r="F29" s="83" t="s">
        <v>100</v>
      </c>
    </row>
    <row r="30" spans="2:6" ht="30" x14ac:dyDescent="0.2">
      <c r="B30" s="78" t="s">
        <v>71</v>
      </c>
      <c r="C30" s="25" t="s">
        <v>96</v>
      </c>
      <c r="D30" s="25" t="s">
        <v>5</v>
      </c>
      <c r="E30" s="25" t="s">
        <v>16</v>
      </c>
      <c r="F30" s="79" t="s">
        <v>127</v>
      </c>
    </row>
    <row r="31" spans="2:6" ht="90" x14ac:dyDescent="0.2">
      <c r="B31" s="78" t="s">
        <v>72</v>
      </c>
      <c r="C31" s="25" t="s">
        <v>33</v>
      </c>
      <c r="D31" s="25" t="s">
        <v>13</v>
      </c>
      <c r="E31" s="25" t="s">
        <v>60</v>
      </c>
      <c r="F31" s="79" t="s">
        <v>154</v>
      </c>
    </row>
    <row r="32" spans="2:6" ht="361.5" customHeight="1" x14ac:dyDescent="0.2">
      <c r="B32" s="78" t="s">
        <v>73</v>
      </c>
      <c r="C32" s="25" t="s">
        <v>32</v>
      </c>
      <c r="D32" s="25" t="s">
        <v>13</v>
      </c>
      <c r="E32" s="25" t="s">
        <v>60</v>
      </c>
      <c r="F32" s="79" t="s">
        <v>155</v>
      </c>
    </row>
    <row r="33" spans="2:6" ht="30" x14ac:dyDescent="0.2">
      <c r="B33" s="78" t="s">
        <v>74</v>
      </c>
      <c r="C33" s="25" t="s">
        <v>86</v>
      </c>
      <c r="D33" s="25" t="s">
        <v>102</v>
      </c>
      <c r="E33" s="25" t="s">
        <v>16</v>
      </c>
      <c r="F33" s="79" t="s">
        <v>128</v>
      </c>
    </row>
    <row r="34" spans="2:6" ht="45" x14ac:dyDescent="0.2">
      <c r="B34" s="78" t="s">
        <v>75</v>
      </c>
      <c r="C34" s="25" t="s">
        <v>103</v>
      </c>
      <c r="D34" s="25" t="s">
        <v>102</v>
      </c>
      <c r="E34" s="25" t="s">
        <v>14</v>
      </c>
      <c r="F34" s="79" t="s">
        <v>129</v>
      </c>
    </row>
    <row r="35" spans="2:6" ht="60" x14ac:dyDescent="0.2">
      <c r="B35" s="78" t="s">
        <v>76</v>
      </c>
      <c r="C35" s="25" t="s">
        <v>24</v>
      </c>
      <c r="D35" s="25" t="s">
        <v>25</v>
      </c>
      <c r="E35" s="25" t="s">
        <v>14</v>
      </c>
      <c r="F35" s="79" t="s">
        <v>156</v>
      </c>
    </row>
    <row r="36" spans="2:6" x14ac:dyDescent="0.2">
      <c r="B36" s="78" t="s">
        <v>104</v>
      </c>
      <c r="C36" s="25" t="s">
        <v>26</v>
      </c>
      <c r="D36" s="25" t="s">
        <v>13</v>
      </c>
      <c r="E36" s="25" t="s">
        <v>14</v>
      </c>
      <c r="F36" s="79" t="s">
        <v>157</v>
      </c>
    </row>
    <row r="37" spans="2:6" ht="30" x14ac:dyDescent="0.2">
      <c r="B37" s="21" t="s">
        <v>105</v>
      </c>
      <c r="C37" s="22" t="s">
        <v>107</v>
      </c>
      <c r="D37" s="22" t="s">
        <v>18</v>
      </c>
      <c r="E37" s="22" t="s">
        <v>16</v>
      </c>
      <c r="F37" s="23" t="s">
        <v>108</v>
      </c>
    </row>
    <row r="38" spans="2:6" x14ac:dyDescent="0.2">
      <c r="B38" s="97" t="s">
        <v>88</v>
      </c>
      <c r="C38" s="98"/>
      <c r="D38" s="98"/>
      <c r="E38" s="98"/>
      <c r="F38" s="99"/>
    </row>
    <row r="39" spans="2:6" ht="30" x14ac:dyDescent="0.2">
      <c r="B39" s="81" t="s">
        <v>109</v>
      </c>
      <c r="C39" s="82" t="s">
        <v>89</v>
      </c>
      <c r="D39" s="82" t="s">
        <v>18</v>
      </c>
      <c r="E39" s="82" t="s">
        <v>16</v>
      </c>
      <c r="F39" s="83" t="s">
        <v>130</v>
      </c>
    </row>
    <row r="40" spans="2:6" ht="30" customHeight="1" x14ac:dyDescent="0.2">
      <c r="B40" s="78" t="s">
        <v>110</v>
      </c>
      <c r="C40" s="25" t="s">
        <v>172</v>
      </c>
      <c r="D40" s="25" t="s">
        <v>18</v>
      </c>
      <c r="E40" s="25" t="s">
        <v>16</v>
      </c>
      <c r="F40" s="79" t="s">
        <v>173</v>
      </c>
    </row>
    <row r="41" spans="2:6" ht="30" x14ac:dyDescent="0.2">
      <c r="B41" s="78" t="s">
        <v>111</v>
      </c>
      <c r="C41" s="25" t="s">
        <v>174</v>
      </c>
      <c r="D41" s="25" t="s">
        <v>18</v>
      </c>
      <c r="E41" s="25" t="s">
        <v>16</v>
      </c>
      <c r="F41" s="79" t="s">
        <v>175</v>
      </c>
    </row>
    <row r="42" spans="2:6" x14ac:dyDescent="0.2">
      <c r="B42" s="78" t="s">
        <v>112</v>
      </c>
      <c r="C42" s="25" t="s">
        <v>159</v>
      </c>
      <c r="D42" s="25" t="s">
        <v>5</v>
      </c>
      <c r="E42" s="25" t="s">
        <v>16</v>
      </c>
      <c r="F42" s="79" t="s">
        <v>131</v>
      </c>
    </row>
    <row r="43" spans="2:6" ht="45" x14ac:dyDescent="0.2">
      <c r="B43" s="78" t="s">
        <v>113</v>
      </c>
      <c r="C43" s="25" t="s">
        <v>92</v>
      </c>
      <c r="D43" s="25" t="s">
        <v>18</v>
      </c>
      <c r="E43" s="25" t="s">
        <v>60</v>
      </c>
      <c r="F43" s="79" t="s">
        <v>132</v>
      </c>
    </row>
    <row r="44" spans="2:6" ht="45" x14ac:dyDescent="0.2">
      <c r="B44" s="78" t="s">
        <v>114</v>
      </c>
      <c r="C44" s="25" t="s">
        <v>98</v>
      </c>
      <c r="D44" s="25" t="s">
        <v>18</v>
      </c>
      <c r="E44" s="25" t="s">
        <v>60</v>
      </c>
      <c r="F44" s="79" t="s">
        <v>133</v>
      </c>
    </row>
    <row r="45" spans="2:6" ht="45" x14ac:dyDescent="0.2">
      <c r="B45" s="78" t="s">
        <v>115</v>
      </c>
      <c r="C45" s="25" t="s">
        <v>97</v>
      </c>
      <c r="D45" s="25" t="s">
        <v>18</v>
      </c>
      <c r="E45" s="25" t="s">
        <v>60</v>
      </c>
      <c r="F45" s="79" t="s">
        <v>134</v>
      </c>
    </row>
    <row r="46" spans="2:6" ht="60" x14ac:dyDescent="0.2">
      <c r="B46" s="78" t="s">
        <v>116</v>
      </c>
      <c r="C46" s="25" t="s">
        <v>176</v>
      </c>
      <c r="D46" s="25" t="s">
        <v>18</v>
      </c>
      <c r="E46" s="25" t="s">
        <v>60</v>
      </c>
      <c r="F46" s="79" t="s">
        <v>135</v>
      </c>
    </row>
    <row r="47" spans="2:6" x14ac:dyDescent="0.2">
      <c r="B47" s="21" t="s">
        <v>117</v>
      </c>
      <c r="C47" s="22" t="s">
        <v>27</v>
      </c>
      <c r="D47" s="22" t="s">
        <v>5</v>
      </c>
      <c r="E47" s="22" t="s">
        <v>16</v>
      </c>
      <c r="F47" s="23" t="s">
        <v>28</v>
      </c>
    </row>
    <row r="48" spans="2:6" x14ac:dyDescent="0.2">
      <c r="B48" s="97" t="s">
        <v>136</v>
      </c>
      <c r="C48" s="98"/>
      <c r="D48" s="98"/>
      <c r="E48" s="98"/>
      <c r="F48" s="99"/>
    </row>
    <row r="49" spans="2:6" ht="150" x14ac:dyDescent="0.2">
      <c r="B49" s="81" t="s">
        <v>118</v>
      </c>
      <c r="C49" s="82" t="s">
        <v>45</v>
      </c>
      <c r="D49" s="82" t="s">
        <v>18</v>
      </c>
      <c r="E49" s="82" t="s">
        <v>60</v>
      </c>
      <c r="F49" s="83" t="s">
        <v>100</v>
      </c>
    </row>
    <row r="50" spans="2:6" ht="30" x14ac:dyDescent="0.2">
      <c r="B50" s="78" t="s">
        <v>119</v>
      </c>
      <c r="C50" s="25" t="s">
        <v>96</v>
      </c>
      <c r="D50" s="25" t="s">
        <v>5</v>
      </c>
      <c r="E50" s="25" t="s">
        <v>16</v>
      </c>
      <c r="F50" s="79" t="s">
        <v>127</v>
      </c>
    </row>
    <row r="51" spans="2:6" ht="90" x14ac:dyDescent="0.2">
      <c r="B51" s="78" t="s">
        <v>120</v>
      </c>
      <c r="C51" s="25" t="s">
        <v>33</v>
      </c>
      <c r="D51" s="25" t="s">
        <v>13</v>
      </c>
      <c r="E51" s="25" t="s">
        <v>60</v>
      </c>
      <c r="F51" s="79" t="s">
        <v>154</v>
      </c>
    </row>
    <row r="52" spans="2:6" ht="359.25" customHeight="1" x14ac:dyDescent="0.2">
      <c r="B52" s="78" t="s">
        <v>121</v>
      </c>
      <c r="C52" s="25" t="s">
        <v>32</v>
      </c>
      <c r="D52" s="25" t="s">
        <v>13</v>
      </c>
      <c r="E52" s="25" t="s">
        <v>60</v>
      </c>
      <c r="F52" s="79" t="s">
        <v>144</v>
      </c>
    </row>
    <row r="53" spans="2:6" ht="30" x14ac:dyDescent="0.2">
      <c r="B53" s="78" t="s">
        <v>122</v>
      </c>
      <c r="C53" s="25" t="s">
        <v>86</v>
      </c>
      <c r="D53" s="25" t="s">
        <v>102</v>
      </c>
      <c r="E53" s="25" t="s">
        <v>16</v>
      </c>
      <c r="F53" s="79" t="s">
        <v>128</v>
      </c>
    </row>
    <row r="54" spans="2:6" ht="45" x14ac:dyDescent="0.2">
      <c r="B54" s="78" t="s">
        <v>123</v>
      </c>
      <c r="C54" s="25" t="s">
        <v>103</v>
      </c>
      <c r="D54" s="25" t="s">
        <v>102</v>
      </c>
      <c r="E54" s="25" t="s">
        <v>14</v>
      </c>
      <c r="F54" s="79" t="s">
        <v>177</v>
      </c>
    </row>
    <row r="55" spans="2:6" ht="60" x14ac:dyDescent="0.2">
      <c r="B55" s="78" t="s">
        <v>124</v>
      </c>
      <c r="C55" s="25" t="s">
        <v>24</v>
      </c>
      <c r="D55" s="25" t="s">
        <v>25</v>
      </c>
      <c r="E55" s="25" t="s">
        <v>14</v>
      </c>
      <c r="F55" s="79" t="s">
        <v>156</v>
      </c>
    </row>
    <row r="56" spans="2:6" x14ac:dyDescent="0.2">
      <c r="B56" s="78" t="s">
        <v>125</v>
      </c>
      <c r="C56" s="25" t="s">
        <v>26</v>
      </c>
      <c r="D56" s="25" t="s">
        <v>13</v>
      </c>
      <c r="E56" s="25" t="s">
        <v>14</v>
      </c>
      <c r="F56" s="79" t="s">
        <v>106</v>
      </c>
    </row>
    <row r="57" spans="2:6" ht="30" x14ac:dyDescent="0.2">
      <c r="B57" s="21" t="s">
        <v>126</v>
      </c>
      <c r="C57" s="22" t="s">
        <v>107</v>
      </c>
      <c r="D57" s="22" t="s">
        <v>18</v>
      </c>
      <c r="E57" s="22" t="s">
        <v>16</v>
      </c>
      <c r="F57" s="23" t="s">
        <v>108</v>
      </c>
    </row>
    <row r="58" spans="2:6" x14ac:dyDescent="0.2">
      <c r="B58" s="24"/>
      <c r="C58" s="25"/>
      <c r="D58" s="25"/>
      <c r="E58" s="25"/>
      <c r="F58" s="25"/>
    </row>
    <row r="59" spans="2:6" x14ac:dyDescent="0.2">
      <c r="B59" s="94" t="s">
        <v>142</v>
      </c>
      <c r="C59" s="95"/>
      <c r="D59" s="95"/>
      <c r="E59" s="95"/>
      <c r="F59" s="96"/>
    </row>
    <row r="60" spans="2:6" x14ac:dyDescent="0.2">
      <c r="B60" s="85" t="s">
        <v>143</v>
      </c>
      <c r="C60" s="84" t="s">
        <v>8</v>
      </c>
      <c r="D60" s="84" t="s">
        <v>9</v>
      </c>
      <c r="E60" s="84" t="s">
        <v>10</v>
      </c>
      <c r="F60" s="86" t="s">
        <v>11</v>
      </c>
    </row>
    <row r="61" spans="2:6" x14ac:dyDescent="0.2">
      <c r="B61" s="78" t="s">
        <v>62</v>
      </c>
      <c r="C61" s="25" t="s">
        <v>32</v>
      </c>
      <c r="D61" s="25" t="s">
        <v>18</v>
      </c>
      <c r="E61" s="25" t="s">
        <v>14</v>
      </c>
      <c r="F61" s="79" t="s">
        <v>153</v>
      </c>
    </row>
    <row r="62" spans="2:6" x14ac:dyDescent="0.2">
      <c r="B62" s="78" t="s">
        <v>63</v>
      </c>
      <c r="C62" s="25" t="s">
        <v>32</v>
      </c>
      <c r="D62" s="25" t="s">
        <v>13</v>
      </c>
      <c r="E62" s="25" t="s">
        <v>14</v>
      </c>
      <c r="F62" s="79" t="s">
        <v>160</v>
      </c>
    </row>
    <row r="63" spans="2:6" ht="30" x14ac:dyDescent="0.2">
      <c r="B63" s="78" t="s">
        <v>140</v>
      </c>
      <c r="C63" s="25" t="s">
        <v>147</v>
      </c>
      <c r="D63" s="25" t="s">
        <v>141</v>
      </c>
      <c r="E63" s="25" t="s">
        <v>14</v>
      </c>
      <c r="F63" s="79" t="s">
        <v>148</v>
      </c>
    </row>
    <row r="64" spans="2:6" x14ac:dyDescent="0.2">
      <c r="B64" s="21">
        <v>8</v>
      </c>
      <c r="C64" s="22" t="s">
        <v>33</v>
      </c>
      <c r="D64" s="22" t="s">
        <v>18</v>
      </c>
      <c r="E64" s="22" t="s">
        <v>14</v>
      </c>
      <c r="F64" s="23" t="s">
        <v>161</v>
      </c>
    </row>
    <row r="65" spans="2:6" x14ac:dyDescent="0.2">
      <c r="B65" s="25"/>
      <c r="C65" s="25"/>
      <c r="D65" s="25"/>
      <c r="E65" s="25"/>
      <c r="F65" s="25"/>
    </row>
    <row r="66" spans="2:6" x14ac:dyDescent="0.2">
      <c r="B66" s="25"/>
      <c r="C66" s="25"/>
      <c r="D66" s="25"/>
      <c r="E66" s="25"/>
      <c r="F66" s="25"/>
    </row>
    <row r="67" spans="2:6" x14ac:dyDescent="0.2">
      <c r="B67" s="25"/>
      <c r="C67" s="25"/>
      <c r="D67" s="25"/>
      <c r="E67" s="25"/>
      <c r="F67" s="25"/>
    </row>
    <row r="68" spans="2:6" x14ac:dyDescent="0.2">
      <c r="B68" s="25"/>
      <c r="C68" s="25"/>
      <c r="D68" s="25"/>
      <c r="E68" s="25"/>
      <c r="F68" s="25"/>
    </row>
    <row r="69" spans="2:6" x14ac:dyDescent="0.2">
      <c r="B69" s="25"/>
      <c r="C69" s="25"/>
      <c r="D69" s="25"/>
      <c r="E69" s="25"/>
      <c r="F69" s="25"/>
    </row>
    <row r="70" spans="2:6" x14ac:dyDescent="0.2">
      <c r="B70" s="25"/>
      <c r="C70" s="25"/>
      <c r="D70" s="25"/>
      <c r="E70" s="25"/>
      <c r="F70" s="25"/>
    </row>
    <row r="71" spans="2:6" x14ac:dyDescent="0.2">
      <c r="B71" s="25"/>
      <c r="C71" s="25"/>
      <c r="D71" s="25"/>
      <c r="E71" s="25"/>
      <c r="F71" s="25"/>
    </row>
    <row r="72" spans="2:6" x14ac:dyDescent="0.2"/>
    <row r="73" spans="2:6" x14ac:dyDescent="0.2"/>
    <row r="74" spans="2:6" x14ac:dyDescent="0.2"/>
    <row r="75" spans="2:6" x14ac:dyDescent="0.2"/>
    <row r="76" spans="2:6" x14ac:dyDescent="0.2"/>
    <row r="77" spans="2:6" x14ac:dyDescent="0.2"/>
    <row r="78" spans="2:6" x14ac:dyDescent="0.2"/>
    <row r="79" spans="2:6" x14ac:dyDescent="0.2"/>
    <row r="80" spans="2:6" x14ac:dyDescent="0.2"/>
  </sheetData>
  <mergeCells count="20">
    <mergeCell ref="B1:F1"/>
    <mergeCell ref="B6:F6"/>
    <mergeCell ref="B10:F10"/>
    <mergeCell ref="B14:F14"/>
    <mergeCell ref="B20:F20"/>
    <mergeCell ref="C2:F2"/>
    <mergeCell ref="C3:F3"/>
    <mergeCell ref="C15:F15"/>
    <mergeCell ref="C18:F18"/>
    <mergeCell ref="C4:F4"/>
    <mergeCell ref="C7:F7"/>
    <mergeCell ref="C8:F8"/>
    <mergeCell ref="C11:F11"/>
    <mergeCell ref="C12:F12"/>
    <mergeCell ref="C16:F16"/>
    <mergeCell ref="C17:F17"/>
    <mergeCell ref="B59:F59"/>
    <mergeCell ref="B28:F28"/>
    <mergeCell ref="B38:F38"/>
    <mergeCell ref="B48:F48"/>
  </mergeCells>
  <phoneticPr fontId="1" type="noConversion"/>
  <pageMargins left="0.70866141732283472" right="0.70866141732283472" top="0.74803149606299213" bottom="1.1811023622047245" header="0.19685039370078741" footer="0.19685039370078741"/>
  <pageSetup paperSize="9" scale="48" orientation="portrait" r:id="rId1"/>
  <headerFooter alignWithMargins="0">
    <oddHeader>&amp;L&amp;G&amp;R
&amp;G</oddHeader>
    <oddFooter xml:space="preserve">&amp;L&amp;G&amp;R&amp;"-,Fett"&amp;8Bundesverwaltungsamt&amp;"-,Standard" – Der zentrale Dienstleister des Bundes | &amp;D | Seite &amp;P
</oddFooter>
  </headerFooter>
  <rowBreaks count="1" manualBreakCount="1">
    <brk id="3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PrintAll">
                <anchor moveWithCells="1">
                  <from>
                    <xdr:col>6</xdr:col>
                    <xdr:colOff>95250</xdr:colOff>
                    <xdr:row>0</xdr:row>
                    <xdr:rowOff>114300</xdr:rowOff>
                  </from>
                  <to>
                    <xdr:col>8</xdr:col>
                    <xdr:colOff>200025</xdr:colOff>
                    <xdr:row>1</xdr:row>
                    <xdr:rowOff>180975</xdr:rowOff>
                  </to>
                </anchor>
              </controlPr>
            </control>
          </mc:Choice>
        </mc:AlternateContent>
        <mc:AlternateContent xmlns:mc="http://schemas.openxmlformats.org/markup-compatibility/2006">
          <mc:Choice Requires="x14">
            <control shapeId="14340" r:id="rId6" name="Button 4">
              <controlPr defaultSize="0" print="0" autoFill="0" autoPict="0" macro="[0]!PrintContent">
                <anchor moveWithCells="1">
                  <from>
                    <xdr:col>6</xdr:col>
                    <xdr:colOff>104775</xdr:colOff>
                    <xdr:row>2</xdr:row>
                    <xdr:rowOff>0</xdr:rowOff>
                  </from>
                  <to>
                    <xdr:col>8</xdr:col>
                    <xdr:colOff>209550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pageSetUpPr fitToPage="1"/>
  </sheetPr>
  <dimension ref="A1:AI30"/>
  <sheetViews>
    <sheetView showGridLines="0" zoomScaleNormal="100" workbookViewId="0">
      <pane xSplit="3" ySplit="2" topLeftCell="D3" activePane="bottomRight" state="frozen"/>
      <selection pane="topRight" activeCell="D1" sqref="D1"/>
      <selection pane="bottomLeft" activeCell="A3" sqref="A3"/>
      <selection pane="bottomRight" activeCell="Z17" sqref="Z17"/>
    </sheetView>
  </sheetViews>
  <sheetFormatPr defaultColWidth="0" defaultRowHeight="15" zeroHeight="1" x14ac:dyDescent="0.25"/>
  <cols>
    <col min="1" max="1" width="5.85546875" style="31" customWidth="1"/>
    <col min="2" max="2" width="37.42578125" style="31" customWidth="1"/>
    <col min="3" max="3" width="13.140625" style="31" bestFit="1" customWidth="1"/>
    <col min="4" max="4" width="57.85546875" style="31" customWidth="1"/>
    <col min="5" max="5" width="13.28515625" style="31" hidden="1" customWidth="1"/>
    <col min="6" max="7" width="11.42578125" style="31" hidden="1" customWidth="1"/>
    <col min="8" max="8" width="14.42578125" style="31" bestFit="1" customWidth="1"/>
    <col min="9" max="9" width="19" style="31" hidden="1" customWidth="1"/>
    <col min="10" max="10" width="21.5703125" style="31" bestFit="1" customWidth="1"/>
    <col min="11" max="11" width="12" style="31" customWidth="1"/>
    <col min="12" max="12" width="26.5703125" style="31" hidden="1" customWidth="1"/>
    <col min="13" max="13" width="12" style="31" hidden="1" customWidth="1"/>
    <col min="14" max="14" width="13.85546875" style="31" customWidth="1"/>
    <col min="15" max="15" width="16.140625" style="31" hidden="1" customWidth="1"/>
    <col min="16" max="16" width="36.85546875" style="31" customWidth="1"/>
    <col min="17" max="17" width="24.5703125" style="31" customWidth="1"/>
    <col min="18" max="19" width="20.140625" style="31" hidden="1" customWidth="1"/>
    <col min="20" max="24" width="15.28515625" style="31" hidden="1" customWidth="1"/>
    <col min="25" max="25" width="19.42578125" style="31" hidden="1" customWidth="1"/>
    <col min="26" max="26" width="12.140625" style="31" customWidth="1"/>
    <col min="27" max="27" width="16.42578125" style="31" hidden="1" customWidth="1"/>
    <col min="28" max="28" width="14.28515625" style="31" customWidth="1"/>
    <col min="29" max="29" width="11.42578125" style="31" customWidth="1"/>
    <col min="30" max="30" width="11.140625" style="31" hidden="1" customWidth="1"/>
    <col min="31" max="31" width="10.85546875" style="31" hidden="1" customWidth="1"/>
    <col min="32" max="32" width="12.140625" style="31" customWidth="1"/>
    <col min="33" max="33" width="9.85546875" style="31" hidden="1" customWidth="1"/>
    <col min="34" max="34" width="17.140625" style="31" bestFit="1" customWidth="1"/>
    <col min="35" max="35" width="11.42578125" style="31" customWidth="1"/>
    <col min="36" max="16384" width="11.42578125" style="31" hidden="1"/>
  </cols>
  <sheetData>
    <row r="1" spans="1:34" ht="15.75" x14ac:dyDescent="0.25">
      <c r="A1" s="101" t="s">
        <v>29</v>
      </c>
      <c r="B1" s="102"/>
      <c r="C1" s="102"/>
      <c r="D1" s="102"/>
      <c r="E1" s="102"/>
      <c r="F1" s="102"/>
      <c r="G1" s="102"/>
      <c r="H1" s="102"/>
      <c r="I1" s="102"/>
      <c r="J1" s="102"/>
      <c r="K1" s="102"/>
      <c r="L1" s="102"/>
      <c r="M1" s="102"/>
      <c r="N1" s="102"/>
      <c r="O1" s="102"/>
      <c r="P1" s="102"/>
      <c r="Q1" s="102"/>
      <c r="R1" s="102"/>
      <c r="S1" s="102"/>
      <c r="T1" s="102"/>
      <c r="U1" s="102"/>
      <c r="V1" s="102"/>
      <c r="W1" s="102"/>
      <c r="X1" s="102"/>
      <c r="Y1" s="102"/>
      <c r="Z1" s="102"/>
      <c r="AA1" s="102"/>
      <c r="AB1" s="102"/>
      <c r="AC1" s="102"/>
      <c r="AD1" s="102"/>
      <c r="AE1" s="102"/>
      <c r="AF1" s="102"/>
      <c r="AG1" s="102"/>
      <c r="AH1" s="102"/>
    </row>
    <row r="2" spans="1:34" x14ac:dyDescent="0.25">
      <c r="A2" s="103" t="s">
        <v>30</v>
      </c>
      <c r="B2" s="104"/>
      <c r="C2" s="104"/>
      <c r="D2" s="104"/>
      <c r="E2" s="104"/>
      <c r="F2" s="104"/>
      <c r="G2" s="104"/>
      <c r="H2" s="105" t="s">
        <v>149</v>
      </c>
      <c r="I2" s="105"/>
      <c r="J2" s="105"/>
      <c r="K2" s="105"/>
      <c r="L2" s="105"/>
      <c r="M2" s="105"/>
      <c r="N2" s="105"/>
      <c r="O2" s="105"/>
      <c r="P2" s="105"/>
      <c r="Q2" s="106" t="s">
        <v>88</v>
      </c>
      <c r="R2" s="107"/>
      <c r="S2" s="107"/>
      <c r="T2" s="107"/>
      <c r="U2" s="107"/>
      <c r="V2" s="107"/>
      <c r="W2" s="107"/>
      <c r="X2" s="107"/>
      <c r="Y2" s="108"/>
      <c r="Z2" s="109" t="s">
        <v>150</v>
      </c>
      <c r="AA2" s="110"/>
      <c r="AB2" s="110"/>
      <c r="AC2" s="110"/>
      <c r="AD2" s="110"/>
      <c r="AE2" s="110"/>
      <c r="AF2" s="110"/>
      <c r="AG2" s="110"/>
      <c r="AH2" s="111"/>
    </row>
    <row r="3" spans="1:34" s="55" customFormat="1" ht="49.5" customHeight="1" x14ac:dyDescent="0.2">
      <c r="A3" s="56" t="s">
        <v>12</v>
      </c>
      <c r="B3" s="57" t="s">
        <v>193</v>
      </c>
      <c r="C3" s="57" t="s">
        <v>57</v>
      </c>
      <c r="D3" s="57" t="s">
        <v>19</v>
      </c>
      <c r="E3" s="57" t="s">
        <v>31</v>
      </c>
      <c r="F3" s="57" t="s">
        <v>162</v>
      </c>
      <c r="G3" s="57" t="s">
        <v>22</v>
      </c>
      <c r="H3" s="58" t="s">
        <v>45</v>
      </c>
      <c r="I3" s="58" t="s">
        <v>96</v>
      </c>
      <c r="J3" s="58" t="s">
        <v>69</v>
      </c>
      <c r="K3" s="58" t="s">
        <v>32</v>
      </c>
      <c r="L3" s="58" t="s">
        <v>86</v>
      </c>
      <c r="M3" s="58" t="s">
        <v>87</v>
      </c>
      <c r="N3" s="58" t="s">
        <v>24</v>
      </c>
      <c r="O3" s="58" t="s">
        <v>26</v>
      </c>
      <c r="P3" s="58" t="s">
        <v>85</v>
      </c>
      <c r="Q3" s="67" t="s">
        <v>89</v>
      </c>
      <c r="R3" s="59" t="s">
        <v>163</v>
      </c>
      <c r="S3" s="59" t="s">
        <v>158</v>
      </c>
      <c r="T3" s="59" t="s">
        <v>90</v>
      </c>
      <c r="U3" s="59" t="s">
        <v>92</v>
      </c>
      <c r="V3" s="59" t="s">
        <v>98</v>
      </c>
      <c r="W3" s="59" t="s">
        <v>97</v>
      </c>
      <c r="X3" s="59" t="s">
        <v>91</v>
      </c>
      <c r="Y3" s="60" t="s">
        <v>27</v>
      </c>
      <c r="Z3" s="67" t="s">
        <v>45</v>
      </c>
      <c r="AA3" s="59" t="s">
        <v>96</v>
      </c>
      <c r="AB3" s="59" t="s">
        <v>69</v>
      </c>
      <c r="AC3" s="59" t="s">
        <v>32</v>
      </c>
      <c r="AD3" s="59" t="s">
        <v>86</v>
      </c>
      <c r="AE3" s="59" t="s">
        <v>87</v>
      </c>
      <c r="AF3" s="59" t="s">
        <v>24</v>
      </c>
      <c r="AG3" s="59" t="s">
        <v>26</v>
      </c>
      <c r="AH3" s="60" t="s">
        <v>85</v>
      </c>
    </row>
    <row r="4" spans="1:34" s="61" customFormat="1" ht="16.5" customHeight="1" x14ac:dyDescent="0.2">
      <c r="A4" s="62">
        <v>1</v>
      </c>
      <c r="B4" s="63" t="s">
        <v>180</v>
      </c>
      <c r="C4" s="63" t="s">
        <v>181</v>
      </c>
      <c r="D4" s="118" t="s">
        <v>182</v>
      </c>
      <c r="E4" s="66"/>
      <c r="F4" s="63" t="s">
        <v>183</v>
      </c>
      <c r="G4" s="63" t="s">
        <v>184</v>
      </c>
      <c r="H4" s="62" t="s">
        <v>47</v>
      </c>
      <c r="I4" s="66"/>
      <c r="J4" s="64">
        <v>0.7</v>
      </c>
      <c r="K4" s="63">
        <v>5</v>
      </c>
      <c r="L4" s="63"/>
      <c r="M4" s="65" t="str">
        <f t="shared" ref="M4:M9" si="0">IF(J4&gt;0,IF(L4&gt;0,L4*J4,""),"")</f>
        <v/>
      </c>
      <c r="N4" s="65" t="str">
        <f t="shared" ref="N4:N9" si="1">IF(H4="aktiv",IF(OR(ISBLANK(K4),ISBLANK(J4)),"",IF(5*J4+0.5+K4&lt;=5,"C",IF(5*J4+0.5+K4&lt;=7,"B","A"))),"")</f>
        <v>A</v>
      </c>
      <c r="O4" s="65">
        <f t="shared" ref="O4:O9" si="2">IF(H4="aktiv",IF(OR(ISBLANK(K4),ISBLANK(J4)),"",5*(5*J4-0.5)+K4),"")</f>
        <v>20</v>
      </c>
      <c r="P4" s="63" t="s">
        <v>185</v>
      </c>
      <c r="Q4" s="68" t="s">
        <v>186</v>
      </c>
      <c r="R4" s="63"/>
      <c r="S4" s="63"/>
      <c r="T4" s="66"/>
      <c r="U4" s="63"/>
      <c r="V4" s="63"/>
      <c r="W4" s="63"/>
      <c r="X4" s="63"/>
      <c r="Y4" s="69" t="s">
        <v>101</v>
      </c>
      <c r="Z4" s="62" t="s">
        <v>47</v>
      </c>
      <c r="AA4" s="66"/>
      <c r="AB4" s="64">
        <v>0.1</v>
      </c>
      <c r="AC4" s="63">
        <v>3</v>
      </c>
      <c r="AD4" s="70"/>
      <c r="AE4" s="71" t="str">
        <f t="shared" ref="AE4:AE9" si="3">IF(AB4&gt;0,IF(AD4&gt;0,AD4*AB4,""),"")</f>
        <v/>
      </c>
      <c r="AF4" s="65" t="str">
        <f>IF(Z4="aktiv",IF(OR(ISBLANK(AC4),ISBLANK(AB4)),"",IF(5*AB4+0.5+AC4&lt;=5,"C",IF(5*AB4+0.5+AC4&lt;=7,"B","A"))),"")</f>
        <v>C</v>
      </c>
      <c r="AG4" s="65">
        <f t="shared" ref="AG4:AG9" si="4">IF(Z4="aktiv",IF(OR(ISBLANK(AC4),ISBLANK(AB4)),"",5*(5*AB4-0.5)+AC4),"")</f>
        <v>3</v>
      </c>
      <c r="AH4" s="69"/>
    </row>
    <row r="5" spans="1:34" s="61" customFormat="1" ht="12.75" x14ac:dyDescent="0.2">
      <c r="A5" s="62">
        <v>2</v>
      </c>
      <c r="B5" s="63" t="s">
        <v>187</v>
      </c>
      <c r="C5" s="63" t="s">
        <v>188</v>
      </c>
      <c r="D5" s="63" t="s">
        <v>189</v>
      </c>
      <c r="E5" s="66" t="s">
        <v>101</v>
      </c>
      <c r="F5" s="63"/>
      <c r="G5" s="63"/>
      <c r="H5" s="62" t="s">
        <v>47</v>
      </c>
      <c r="I5" s="66" t="s">
        <v>101</v>
      </c>
      <c r="J5" s="64">
        <v>0.9</v>
      </c>
      <c r="K5" s="63">
        <v>4</v>
      </c>
      <c r="L5" s="63"/>
      <c r="M5" s="65" t="str">
        <f t="shared" si="0"/>
        <v/>
      </c>
      <c r="N5" s="65" t="str">
        <f t="shared" si="1"/>
        <v>A</v>
      </c>
      <c r="O5" s="65">
        <f t="shared" si="2"/>
        <v>24</v>
      </c>
      <c r="P5" s="63" t="s">
        <v>191</v>
      </c>
      <c r="Q5" s="62" t="s">
        <v>190</v>
      </c>
      <c r="R5" s="63"/>
      <c r="S5" s="63"/>
      <c r="T5" s="66" t="s">
        <v>101</v>
      </c>
      <c r="U5" s="63"/>
      <c r="V5" s="63"/>
      <c r="W5" s="63"/>
      <c r="X5" s="63"/>
      <c r="Y5" s="69" t="s">
        <v>101</v>
      </c>
      <c r="Z5" s="62" t="s">
        <v>47</v>
      </c>
      <c r="AA5" s="66" t="s">
        <v>101</v>
      </c>
      <c r="AB5" s="64">
        <v>0.3</v>
      </c>
      <c r="AC5" s="63">
        <v>2</v>
      </c>
      <c r="AD5" s="70">
        <v>0</v>
      </c>
      <c r="AE5" s="71" t="str">
        <f t="shared" si="3"/>
        <v/>
      </c>
      <c r="AF5" s="65" t="str">
        <f t="shared" ref="AF5:AF9" si="5">IF(Z5="aktiv",IF(OR(ISBLANK(AC5),ISBLANK(AB5)),"",IF(5*AB5+0.5+AC5&lt;=5,"C",IF(5*AB5+0.5+AC5&lt;=7,"B","A"))),"")</f>
        <v>C</v>
      </c>
      <c r="AG5" s="65">
        <f t="shared" si="4"/>
        <v>7</v>
      </c>
      <c r="AH5" s="69"/>
    </row>
    <row r="6" spans="1:34" s="61" customFormat="1" ht="12.75" x14ac:dyDescent="0.2">
      <c r="A6" s="62">
        <v>3</v>
      </c>
      <c r="B6" s="63" t="s">
        <v>192</v>
      </c>
      <c r="C6" s="63" t="s">
        <v>197</v>
      </c>
      <c r="D6" s="63" t="s">
        <v>198</v>
      </c>
      <c r="E6" s="66" t="s">
        <v>101</v>
      </c>
      <c r="F6" s="63"/>
      <c r="G6" s="63"/>
      <c r="H6" s="62" t="s">
        <v>47</v>
      </c>
      <c r="I6" s="66" t="s">
        <v>101</v>
      </c>
      <c r="J6" s="64">
        <v>0.9</v>
      </c>
      <c r="K6" s="63">
        <v>4</v>
      </c>
      <c r="L6" s="63"/>
      <c r="M6" s="65" t="str">
        <f t="shared" si="0"/>
        <v/>
      </c>
      <c r="N6" s="65" t="str">
        <f t="shared" si="1"/>
        <v>A</v>
      </c>
      <c r="O6" s="65">
        <f t="shared" si="2"/>
        <v>24</v>
      </c>
      <c r="P6" s="63" t="s">
        <v>191</v>
      </c>
      <c r="Q6" s="62" t="s">
        <v>199</v>
      </c>
      <c r="R6" s="63"/>
      <c r="S6" s="63"/>
      <c r="T6" s="66" t="s">
        <v>101</v>
      </c>
      <c r="U6" s="63"/>
      <c r="V6" s="63"/>
      <c r="W6" s="63"/>
      <c r="X6" s="63"/>
      <c r="Y6" s="69" t="s">
        <v>101</v>
      </c>
      <c r="Z6" s="62" t="s">
        <v>47</v>
      </c>
      <c r="AA6" s="66" t="s">
        <v>101</v>
      </c>
      <c r="AB6" s="64">
        <v>0.5</v>
      </c>
      <c r="AC6" s="63">
        <v>1</v>
      </c>
      <c r="AD6" s="70">
        <v>0</v>
      </c>
      <c r="AE6" s="71" t="str">
        <f t="shared" si="3"/>
        <v/>
      </c>
      <c r="AF6" s="65" t="str">
        <f t="shared" si="5"/>
        <v>C</v>
      </c>
      <c r="AG6" s="65">
        <f t="shared" si="4"/>
        <v>11</v>
      </c>
      <c r="AH6" s="69"/>
    </row>
    <row r="7" spans="1:34" s="61" customFormat="1" ht="12.75" x14ac:dyDescent="0.2">
      <c r="A7" s="62">
        <v>4</v>
      </c>
      <c r="B7" s="63" t="s">
        <v>194</v>
      </c>
      <c r="C7" s="63" t="s">
        <v>196</v>
      </c>
      <c r="D7" s="63" t="s">
        <v>195</v>
      </c>
      <c r="E7" s="66" t="s">
        <v>101</v>
      </c>
      <c r="F7" s="63"/>
      <c r="G7" s="63"/>
      <c r="H7" s="62" t="s">
        <v>47</v>
      </c>
      <c r="I7" s="66" t="s">
        <v>101</v>
      </c>
      <c r="J7" s="64">
        <v>0.5</v>
      </c>
      <c r="K7" s="63">
        <v>3</v>
      </c>
      <c r="L7" s="63"/>
      <c r="M7" s="65" t="str">
        <f t="shared" si="0"/>
        <v/>
      </c>
      <c r="N7" s="65" t="str">
        <f t="shared" si="1"/>
        <v>B</v>
      </c>
      <c r="O7" s="65">
        <f t="shared" si="2"/>
        <v>13</v>
      </c>
      <c r="P7" s="63" t="s">
        <v>200</v>
      </c>
      <c r="Q7" s="62" t="s">
        <v>201</v>
      </c>
      <c r="R7" s="63"/>
      <c r="S7" s="63"/>
      <c r="T7" s="66" t="s">
        <v>101</v>
      </c>
      <c r="U7" s="63"/>
      <c r="V7" s="63"/>
      <c r="W7" s="63"/>
      <c r="X7" s="63"/>
      <c r="Y7" s="69" t="s">
        <v>101</v>
      </c>
      <c r="Z7" s="62" t="s">
        <v>47</v>
      </c>
      <c r="AA7" s="66" t="s">
        <v>101</v>
      </c>
      <c r="AB7" s="64">
        <v>0.1</v>
      </c>
      <c r="AC7" s="63">
        <v>3</v>
      </c>
      <c r="AD7" s="70">
        <v>0</v>
      </c>
      <c r="AE7" s="71" t="str">
        <f t="shared" si="3"/>
        <v/>
      </c>
      <c r="AF7" s="65" t="str">
        <f t="shared" si="5"/>
        <v>C</v>
      </c>
      <c r="AG7" s="65">
        <f t="shared" si="4"/>
        <v>3</v>
      </c>
      <c r="AH7" s="69"/>
    </row>
    <row r="8" spans="1:34" s="61" customFormat="1" ht="12.75" x14ac:dyDescent="0.2">
      <c r="A8" s="62">
        <v>5</v>
      </c>
      <c r="B8" s="63" t="s">
        <v>202</v>
      </c>
      <c r="C8" s="63" t="s">
        <v>203</v>
      </c>
      <c r="D8" s="63" t="s">
        <v>204</v>
      </c>
      <c r="E8" s="66" t="s">
        <v>101</v>
      </c>
      <c r="F8" s="63"/>
      <c r="G8" s="63"/>
      <c r="H8" s="62" t="s">
        <v>47</v>
      </c>
      <c r="I8" s="66" t="s">
        <v>101</v>
      </c>
      <c r="J8" s="64">
        <v>0.3</v>
      </c>
      <c r="K8" s="63">
        <v>4</v>
      </c>
      <c r="L8" s="63"/>
      <c r="M8" s="65" t="str">
        <f t="shared" si="0"/>
        <v/>
      </c>
      <c r="N8" s="65" t="str">
        <f t="shared" si="1"/>
        <v>B</v>
      </c>
      <c r="O8" s="65">
        <f t="shared" si="2"/>
        <v>9</v>
      </c>
      <c r="P8" s="63" t="s">
        <v>205</v>
      </c>
      <c r="Q8" s="62" t="s">
        <v>206</v>
      </c>
      <c r="R8" s="63"/>
      <c r="S8" s="63"/>
      <c r="T8" s="66" t="s">
        <v>101</v>
      </c>
      <c r="U8" s="63"/>
      <c r="V8" s="63"/>
      <c r="W8" s="63"/>
      <c r="X8" s="63"/>
      <c r="Y8" s="69" t="s">
        <v>101</v>
      </c>
      <c r="Z8" s="62" t="s">
        <v>53</v>
      </c>
      <c r="AA8" s="66" t="s">
        <v>101</v>
      </c>
      <c r="AB8" s="64"/>
      <c r="AC8" s="63"/>
      <c r="AD8" s="70">
        <v>0</v>
      </c>
      <c r="AE8" s="71" t="str">
        <f t="shared" si="3"/>
        <v/>
      </c>
      <c r="AF8" s="65" t="str">
        <f t="shared" si="5"/>
        <v/>
      </c>
      <c r="AG8" s="65" t="str">
        <f t="shared" si="4"/>
        <v/>
      </c>
      <c r="AH8" s="69"/>
    </row>
    <row r="9" spans="1:34" s="61" customFormat="1" ht="12.75" x14ac:dyDescent="0.2">
      <c r="A9" s="62">
        <v>6</v>
      </c>
      <c r="B9" s="63" t="s">
        <v>207</v>
      </c>
      <c r="C9" s="63" t="s">
        <v>208</v>
      </c>
      <c r="D9" s="63" t="s">
        <v>209</v>
      </c>
      <c r="E9" s="66" t="s">
        <v>101</v>
      </c>
      <c r="F9" s="63"/>
      <c r="G9" s="63"/>
      <c r="H9" s="62" t="s">
        <v>47</v>
      </c>
      <c r="I9" s="66" t="s">
        <v>101</v>
      </c>
      <c r="J9" s="64">
        <v>0.5</v>
      </c>
      <c r="K9" s="63">
        <v>4</v>
      </c>
      <c r="L9" s="63"/>
      <c r="M9" s="65" t="str">
        <f t="shared" si="0"/>
        <v/>
      </c>
      <c r="N9" s="65" t="str">
        <f t="shared" si="1"/>
        <v>B</v>
      </c>
      <c r="O9" s="65">
        <f t="shared" si="2"/>
        <v>14</v>
      </c>
      <c r="P9" s="63" t="s">
        <v>210</v>
      </c>
      <c r="Q9" s="62" t="s">
        <v>211</v>
      </c>
      <c r="R9" s="63"/>
      <c r="S9" s="63"/>
      <c r="T9" s="66" t="s">
        <v>101</v>
      </c>
      <c r="U9" s="63"/>
      <c r="V9" s="63"/>
      <c r="W9" s="63"/>
      <c r="X9" s="63"/>
      <c r="Y9" s="69" t="s">
        <v>101</v>
      </c>
      <c r="Z9" s="62" t="s">
        <v>47</v>
      </c>
      <c r="AA9" s="66" t="s">
        <v>101</v>
      </c>
      <c r="AB9" s="64">
        <v>0.3</v>
      </c>
      <c r="AC9" s="63">
        <v>2</v>
      </c>
      <c r="AD9" s="70">
        <v>0</v>
      </c>
      <c r="AE9" s="71" t="str">
        <f t="shared" si="3"/>
        <v/>
      </c>
      <c r="AF9" s="65" t="str">
        <f t="shared" si="5"/>
        <v>C</v>
      </c>
      <c r="AG9" s="65">
        <f t="shared" si="4"/>
        <v>7</v>
      </c>
      <c r="AH9" s="69"/>
    </row>
    <row r="10" spans="1:34" s="61" customFormat="1" ht="12.75" x14ac:dyDescent="0.2">
      <c r="A10" s="62">
        <v>7</v>
      </c>
      <c r="B10" s="63" t="s">
        <v>212</v>
      </c>
      <c r="C10" s="63" t="s">
        <v>213</v>
      </c>
      <c r="D10" s="63" t="s">
        <v>214</v>
      </c>
      <c r="E10" s="66" t="s">
        <v>101</v>
      </c>
      <c r="F10" s="63"/>
      <c r="G10" s="63"/>
      <c r="H10" s="62" t="s">
        <v>47</v>
      </c>
      <c r="I10" s="66" t="s">
        <v>101</v>
      </c>
      <c r="J10" s="64">
        <v>0.5</v>
      </c>
      <c r="K10" s="63">
        <v>4</v>
      </c>
      <c r="L10" s="63"/>
      <c r="M10" s="65" t="str">
        <f t="shared" ref="M10:M12" si="6">IF(J10&gt;0,IF(L10&gt;0,L10*J10,""),"")</f>
        <v/>
      </c>
      <c r="N10" s="65" t="str">
        <f t="shared" ref="N10:N12" si="7">IF(H10="aktiv",IF(OR(ISBLANK(K10),ISBLANK(J10)),"",IF(5*J10+0.5+K10&lt;=5,"C",IF(5*J10+0.5+K10&lt;=7,"B","A"))),"")</f>
        <v>B</v>
      </c>
      <c r="O10" s="65">
        <f t="shared" ref="O10:O12" si="8">IF(H10="aktiv",IF(OR(ISBLANK(K10),ISBLANK(J10)),"",5*(5*J10-0.5)+K10),"")</f>
        <v>14</v>
      </c>
      <c r="P10" s="63" t="s">
        <v>200</v>
      </c>
      <c r="Q10" s="62" t="s">
        <v>215</v>
      </c>
      <c r="R10" s="63"/>
      <c r="S10" s="63"/>
      <c r="T10" s="66" t="s">
        <v>101</v>
      </c>
      <c r="U10" s="63"/>
      <c r="V10" s="63"/>
      <c r="W10" s="63"/>
      <c r="X10" s="63"/>
      <c r="Y10" s="69" t="s">
        <v>101</v>
      </c>
      <c r="Z10" s="62" t="s">
        <v>47</v>
      </c>
      <c r="AA10" s="66" t="s">
        <v>101</v>
      </c>
      <c r="AB10" s="64">
        <v>0.1</v>
      </c>
      <c r="AC10" s="63">
        <v>3</v>
      </c>
      <c r="AD10" s="70">
        <v>0</v>
      </c>
      <c r="AE10" s="71" t="str">
        <f t="shared" ref="AE10:AE12" si="9">IF(AB10&gt;0,IF(AD10&gt;0,AD10*AB10,""),"")</f>
        <v/>
      </c>
      <c r="AF10" s="65" t="str">
        <f t="shared" ref="AF10:AF12" si="10">IF(Z10="aktiv",IF(OR(ISBLANK(AC10),ISBLANK(AB10)),"",IF(5*AB10+0.5+AC10&lt;=5,"C",IF(5*AB10+0.5+AC10&lt;=7,"B","A"))),"")</f>
        <v>C</v>
      </c>
      <c r="AG10" s="65">
        <f t="shared" ref="AG10:AG12" si="11">IF(Z10="aktiv",IF(OR(ISBLANK(AC10),ISBLANK(AB10)),"",5*(5*AB10-0.5)+AC10),"")</f>
        <v>3</v>
      </c>
      <c r="AH10" s="69"/>
    </row>
    <row r="11" spans="1:34" s="61" customFormat="1" ht="12.75" x14ac:dyDescent="0.2">
      <c r="A11" s="62">
        <v>8</v>
      </c>
      <c r="B11" s="63" t="s">
        <v>216</v>
      </c>
      <c r="C11" s="63" t="s">
        <v>217</v>
      </c>
      <c r="D11" s="63" t="s">
        <v>218</v>
      </c>
      <c r="E11" s="66" t="s">
        <v>101</v>
      </c>
      <c r="F11" s="63"/>
      <c r="G11" s="63"/>
      <c r="H11" s="62" t="s">
        <v>47</v>
      </c>
      <c r="I11" s="66" t="s">
        <v>101</v>
      </c>
      <c r="J11" s="64">
        <v>0.3</v>
      </c>
      <c r="K11" s="63">
        <v>3</v>
      </c>
      <c r="L11" s="63"/>
      <c r="M11" s="65" t="str">
        <f t="shared" si="6"/>
        <v/>
      </c>
      <c r="N11" s="65" t="str">
        <f t="shared" si="7"/>
        <v>C</v>
      </c>
      <c r="O11" s="65">
        <f t="shared" si="8"/>
        <v>8</v>
      </c>
      <c r="P11" s="63" t="s">
        <v>200</v>
      </c>
      <c r="Q11" s="62" t="s">
        <v>219</v>
      </c>
      <c r="R11" s="63"/>
      <c r="S11" s="63"/>
      <c r="T11" s="66" t="s">
        <v>101</v>
      </c>
      <c r="U11" s="63"/>
      <c r="V11" s="63"/>
      <c r="W11" s="63"/>
      <c r="X11" s="63"/>
      <c r="Y11" s="69" t="s">
        <v>101</v>
      </c>
      <c r="Z11" s="62" t="s">
        <v>47</v>
      </c>
      <c r="AA11" s="66" t="s">
        <v>101</v>
      </c>
      <c r="AB11" s="64">
        <v>0.3</v>
      </c>
      <c r="AC11" s="63">
        <v>3</v>
      </c>
      <c r="AD11" s="70">
        <v>0</v>
      </c>
      <c r="AE11" s="71" t="str">
        <f t="shared" si="9"/>
        <v/>
      </c>
      <c r="AF11" s="65" t="str">
        <f t="shared" si="10"/>
        <v>C</v>
      </c>
      <c r="AG11" s="65">
        <f t="shared" si="11"/>
        <v>8</v>
      </c>
      <c r="AH11" s="69"/>
    </row>
    <row r="12" spans="1:34" s="61" customFormat="1" ht="12.75" x14ac:dyDescent="0.2">
      <c r="A12" s="62">
        <v>6</v>
      </c>
      <c r="B12" s="63" t="s">
        <v>220</v>
      </c>
      <c r="C12" s="63" t="s">
        <v>221</v>
      </c>
      <c r="D12" s="63" t="s">
        <v>222</v>
      </c>
      <c r="E12" s="66" t="s">
        <v>101</v>
      </c>
      <c r="F12" s="63"/>
      <c r="G12" s="63"/>
      <c r="H12" s="62" t="s">
        <v>47</v>
      </c>
      <c r="I12" s="66" t="s">
        <v>101</v>
      </c>
      <c r="J12" s="64">
        <v>0.9</v>
      </c>
      <c r="K12" s="63">
        <v>3</v>
      </c>
      <c r="L12" s="63"/>
      <c r="M12" s="65" t="str">
        <f t="shared" si="6"/>
        <v/>
      </c>
      <c r="N12" s="65" t="str">
        <f t="shared" si="7"/>
        <v>A</v>
      </c>
      <c r="O12" s="65">
        <f t="shared" si="8"/>
        <v>23</v>
      </c>
      <c r="P12" s="63" t="s">
        <v>210</v>
      </c>
      <c r="Q12" s="62" t="s">
        <v>211</v>
      </c>
      <c r="R12" s="63"/>
      <c r="S12" s="63"/>
      <c r="T12" s="66" t="s">
        <v>101</v>
      </c>
      <c r="U12" s="63"/>
      <c r="V12" s="63"/>
      <c r="W12" s="63"/>
      <c r="X12" s="63"/>
      <c r="Y12" s="69" t="s">
        <v>101</v>
      </c>
      <c r="Z12" s="62" t="s">
        <v>53</v>
      </c>
      <c r="AA12" s="66" t="s">
        <v>101</v>
      </c>
      <c r="AB12" s="64">
        <v>0.3</v>
      </c>
      <c r="AC12" s="63">
        <v>2</v>
      </c>
      <c r="AD12" s="70">
        <v>0</v>
      </c>
      <c r="AE12" s="71" t="str">
        <f t="shared" si="9"/>
        <v/>
      </c>
      <c r="AF12" s="65" t="str">
        <f t="shared" si="10"/>
        <v/>
      </c>
      <c r="AG12" s="65" t="str">
        <f t="shared" si="11"/>
        <v/>
      </c>
      <c r="AH12" s="69"/>
    </row>
    <row r="13" spans="1:34" x14ac:dyDescent="0.25"/>
    <row r="14" spans="1:34" x14ac:dyDescent="0.25"/>
    <row r="15" spans="1:34" x14ac:dyDescent="0.25"/>
    <row r="16" spans="1:34"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sheetData>
  <autoFilter ref="A3:AH3" xr:uid="{00000000-0009-0000-0000-000002000000}"/>
  <mergeCells count="5">
    <mergeCell ref="A1:AH1"/>
    <mergeCell ref="A2:G2"/>
    <mergeCell ref="H2:P2"/>
    <mergeCell ref="Q2:Y2"/>
    <mergeCell ref="Z2:AH2"/>
  </mergeCells>
  <conditionalFormatting sqref="N4:N12">
    <cfRule type="cellIs" dxfId="5" priority="4" operator="equal">
      <formula>"A"</formula>
    </cfRule>
    <cfRule type="cellIs" dxfId="4" priority="5" operator="equal">
      <formula>"B"</formula>
    </cfRule>
    <cfRule type="cellIs" dxfId="3" priority="6" operator="equal">
      <formula>"C"</formula>
    </cfRule>
  </conditionalFormatting>
  <conditionalFormatting sqref="AF4:AF12">
    <cfRule type="cellIs" dxfId="2" priority="1" operator="equal">
      <formula>"A"</formula>
    </cfRule>
    <cfRule type="cellIs" dxfId="1" priority="2" operator="equal">
      <formula>"B"</formula>
    </cfRule>
    <cfRule type="cellIs" dxfId="0" priority="3" operator="equal">
      <formula>"C"</formula>
    </cfRule>
  </conditionalFormatting>
  <dataValidations count="4">
    <dataValidation type="list" allowBlank="1" showInputMessage="1" showErrorMessage="1" sqref="H4:H12 Z4:Z12" xr:uid="{00000000-0002-0000-0200-000001000000}">
      <formula1>Risikostatus</formula1>
    </dataValidation>
    <dataValidation type="list" allowBlank="1" showInputMessage="1" showErrorMessage="1" sqref="J4:J12 AB4:AB12" xr:uid="{00000000-0002-0000-0200-000002000000}">
      <formula1>Wahrscheinlichkeit</formula1>
    </dataValidation>
    <dataValidation type="list" allowBlank="1" showInputMessage="1" showErrorMessage="1" sqref="K4:K12 AC4:AC12" xr:uid="{00000000-0002-0000-0200-000003000000}">
      <formula1>Auswirkung</formula1>
    </dataValidation>
    <dataValidation type="list" allowBlank="1" showInputMessage="1" showErrorMessage="1" sqref="U4:X12" xr:uid="{00000000-0002-0000-0200-000004000000}">
      <formula1>janein</formula1>
    </dataValidation>
  </dataValidations>
  <pageMargins left="0.70866141732283472" right="0.70866141732283472" top="0.74803149606299213" bottom="1.1811023622047245" header="0.19685039370078741" footer="0.19685039370078741"/>
  <pageSetup paperSize="9" scale="24" orientation="landscape" r:id="rId1"/>
  <headerFooter>
    <oddFooter xml:space="preserve">&amp;L&amp;G&amp;R&amp;"-,Fett"&amp;8Bundesverwaltungsamt&amp;"-,Standard" – Der zentrale Dienstleister des Bundes | &amp;D | Seite &amp;P
</oddFooter>
  </headerFooter>
  <colBreaks count="1" manualBreakCount="1">
    <brk id="7"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J30"/>
  <sheetViews>
    <sheetView showGridLines="0" zoomScaleNormal="100" workbookViewId="0">
      <selection sqref="A1:XFD1048576"/>
    </sheetView>
  </sheetViews>
  <sheetFormatPr defaultColWidth="0" defaultRowHeight="15" zeroHeight="1" x14ac:dyDescent="0.25"/>
  <cols>
    <col min="1" max="1" width="4.28515625" style="31" customWidth="1"/>
    <col min="2" max="7" width="11.42578125" style="31" customWidth="1"/>
    <col min="8" max="8" width="5.85546875" style="31" customWidth="1"/>
    <col min="9" max="9" width="17.42578125" style="31" customWidth="1"/>
    <col min="10" max="10" width="11.42578125" style="31" customWidth="1"/>
    <col min="11" max="16384" width="11.42578125" style="31" hidden="1"/>
  </cols>
  <sheetData>
    <row r="1" spans="1:9" ht="15.75" thickBot="1" x14ac:dyDescent="0.3"/>
    <row r="2" spans="1:9" ht="56.25" customHeight="1" x14ac:dyDescent="0.25">
      <c r="A2" s="112" t="s">
        <v>32</v>
      </c>
      <c r="B2" s="32">
        <v>5</v>
      </c>
      <c r="C2" s="36" t="str">
        <f>IF(COUNTIF(Risikoliste!$O:$O,5*('Risikomatrix VOR Maßnahme'!C$7-1)+'Risikomatrix VOR Maßnahme'!$B2)=0,"",COUNTIF(Risikoliste!$O:$O,5*('Risikomatrix VOR Maßnahme'!C$7-1)+'Risikomatrix VOR Maßnahme'!$B2))</f>
        <v/>
      </c>
      <c r="D2" s="37" t="str">
        <f>IF(COUNTIF(Risikoliste!$O:$O,5*('Risikomatrix VOR Maßnahme'!D$7-1)+'Risikomatrix VOR Maßnahme'!$B2)=0,"",COUNTIF(Risikoliste!$O:$O,5*('Risikomatrix VOR Maßnahme'!D$7-1)+'Risikomatrix VOR Maßnahme'!$B2))</f>
        <v/>
      </c>
      <c r="E2" s="38" t="str">
        <f>IF(COUNTIF(Risikoliste!$O:$O,5*('Risikomatrix VOR Maßnahme'!E$7-1)+'Risikomatrix VOR Maßnahme'!$B2)=0,"",COUNTIF(Risikoliste!$O:$O,5*('Risikomatrix VOR Maßnahme'!E$7-1)+'Risikomatrix VOR Maßnahme'!$B2))</f>
        <v/>
      </c>
      <c r="F2" s="38">
        <f>IF(COUNTIF(Risikoliste!$O:$O,5*('Risikomatrix VOR Maßnahme'!F$7-1)+'Risikomatrix VOR Maßnahme'!$B2)=0,"",COUNTIF(Risikoliste!$O:$O,5*('Risikomatrix VOR Maßnahme'!F$7-1)+'Risikomatrix VOR Maßnahme'!$B2))</f>
        <v>1</v>
      </c>
      <c r="G2" s="39" t="str">
        <f>IF(COUNTIF(Risikoliste!$O:$O,5*('Risikomatrix VOR Maßnahme'!G$7-1)+'Risikomatrix VOR Maßnahme'!$B2)=0,"",COUNTIF(Risikoliste!$O:$O,5*('Risikomatrix VOR Maßnahme'!G$7-1)+'Risikomatrix VOR Maßnahme'!$B2))</f>
        <v/>
      </c>
      <c r="H2" s="33"/>
      <c r="I2" s="33"/>
    </row>
    <row r="3" spans="1:9" ht="56.25" customHeight="1" thickBot="1" x14ac:dyDescent="0.3">
      <c r="A3" s="112"/>
      <c r="B3" s="32">
        <v>4</v>
      </c>
      <c r="C3" s="40" t="str">
        <f>IF(COUNTIF(Risikoliste!$O:$O,5*('Risikomatrix VOR Maßnahme'!C$7-1)+'Risikomatrix VOR Maßnahme'!$B3)=0,"",COUNTIF(Risikoliste!$O:$O,5*('Risikomatrix VOR Maßnahme'!C$7-1)+'Risikomatrix VOR Maßnahme'!$B3))</f>
        <v/>
      </c>
      <c r="D3" s="41">
        <f>IF(COUNTIF(Risikoliste!$O:$O,5*('Risikomatrix VOR Maßnahme'!D$7-1)+'Risikomatrix VOR Maßnahme'!$B3)=0,"",COUNTIF(Risikoliste!$O:$O,5*('Risikomatrix VOR Maßnahme'!D$7-1)+'Risikomatrix VOR Maßnahme'!$B3))</f>
        <v>1</v>
      </c>
      <c r="E3" s="41">
        <f>IF(COUNTIF(Risikoliste!$O:$O,5*('Risikomatrix VOR Maßnahme'!E$7-1)+'Risikomatrix VOR Maßnahme'!$B3)=0,"",COUNTIF(Risikoliste!$O:$O,5*('Risikomatrix VOR Maßnahme'!E$7-1)+'Risikomatrix VOR Maßnahme'!$B3))</f>
        <v>2</v>
      </c>
      <c r="F3" s="42" t="str">
        <f>IF(COUNTIF(Risikoliste!$O:$O,5*('Risikomatrix VOR Maßnahme'!F$7-1)+'Risikomatrix VOR Maßnahme'!$B3)=0,"",COUNTIF(Risikoliste!$O:$O,5*('Risikomatrix VOR Maßnahme'!F$7-1)+'Risikomatrix VOR Maßnahme'!$B3))</f>
        <v/>
      </c>
      <c r="G3" s="43">
        <f>IF(COUNTIF(Risikoliste!$O:$O,5*('Risikomatrix VOR Maßnahme'!G$7-1)+'Risikomatrix VOR Maßnahme'!$B3)=0,"",COUNTIF(Risikoliste!$O:$O,5*('Risikomatrix VOR Maßnahme'!G$7-1)+'Risikomatrix VOR Maßnahme'!$B3))</f>
        <v>2</v>
      </c>
      <c r="H3" s="33"/>
      <c r="I3" s="33"/>
    </row>
    <row r="4" spans="1:9" ht="56.25" customHeight="1" x14ac:dyDescent="0.25">
      <c r="A4" s="112"/>
      <c r="B4" s="32">
        <v>3</v>
      </c>
      <c r="C4" s="40" t="str">
        <f>IF(COUNTIF(Risikoliste!$O:$O,5*('Risikomatrix VOR Maßnahme'!C$7-1)+'Risikomatrix VOR Maßnahme'!$B4)=0,"",COUNTIF(Risikoliste!$O:$O,5*('Risikomatrix VOR Maßnahme'!C$7-1)+'Risikomatrix VOR Maßnahme'!$B4))</f>
        <v/>
      </c>
      <c r="D4" s="44">
        <f>IF(COUNTIF(Risikoliste!$O:$O,5*('Risikomatrix VOR Maßnahme'!D$7-1)+'Risikomatrix VOR Maßnahme'!$B4)=0,"",COUNTIF(Risikoliste!$O:$O,5*('Risikomatrix VOR Maßnahme'!D$7-1)+'Risikomatrix VOR Maßnahme'!$B4))</f>
        <v>1</v>
      </c>
      <c r="E4" s="41">
        <f>IF(COUNTIF(Risikoliste!$O:$O,5*('Risikomatrix VOR Maßnahme'!E$7-1)+'Risikomatrix VOR Maßnahme'!$B4)=0,"",COUNTIF(Risikoliste!$O:$O,5*('Risikomatrix VOR Maßnahme'!E$7-1)+'Risikomatrix VOR Maßnahme'!$B4))</f>
        <v>1</v>
      </c>
      <c r="F4" s="41" t="str">
        <f>IF(COUNTIF(Risikoliste!$O:$O,5*('Risikomatrix VOR Maßnahme'!F$7-1)+'Risikomatrix VOR Maßnahme'!$B4)=0,"",COUNTIF(Risikoliste!$O:$O,5*('Risikomatrix VOR Maßnahme'!F$7-1)+'Risikomatrix VOR Maßnahme'!$B4))</f>
        <v/>
      </c>
      <c r="G4" s="43">
        <f>IF(COUNTIF(Risikoliste!$O:$O,5*('Risikomatrix VOR Maßnahme'!G$7-1)+'Risikomatrix VOR Maßnahme'!$B4)=0,"",COUNTIF(Risikoliste!$O:$O,5*('Risikomatrix VOR Maßnahme'!G$7-1)+'Risikomatrix VOR Maßnahme'!$B4))</f>
        <v>1</v>
      </c>
      <c r="H4" s="33"/>
      <c r="I4" s="49" t="str">
        <f>"Anzahl
Klasse A: " &amp; SUM(E2,F2,G2,F3,G3,G4)</f>
        <v>Anzahl
Klasse A: 4</v>
      </c>
    </row>
    <row r="5" spans="1:9" ht="56.25" customHeight="1" x14ac:dyDescent="0.25">
      <c r="A5" s="112"/>
      <c r="B5" s="32">
        <v>2</v>
      </c>
      <c r="C5" s="40" t="str">
        <f>IF(COUNTIF(Risikoliste!$O:$O,5*('Risikomatrix VOR Maßnahme'!C$7-1)+'Risikomatrix VOR Maßnahme'!$B5)=0,"",COUNTIF(Risikoliste!$O:$O,5*('Risikomatrix VOR Maßnahme'!C$7-1)+'Risikomatrix VOR Maßnahme'!$B5))</f>
        <v/>
      </c>
      <c r="D5" s="44" t="str">
        <f>IF(COUNTIF(Risikoliste!$O:$O,5*('Risikomatrix VOR Maßnahme'!D$7-1)+'Risikomatrix VOR Maßnahme'!$B5)=0,"",COUNTIF(Risikoliste!$O:$O,5*('Risikomatrix VOR Maßnahme'!D$7-1)+'Risikomatrix VOR Maßnahme'!$B5))</f>
        <v/>
      </c>
      <c r="E5" s="44" t="str">
        <f>IF(COUNTIF(Risikoliste!$O:$O,5*('Risikomatrix VOR Maßnahme'!E$7-1)+'Risikomatrix VOR Maßnahme'!$B5)=0,"",COUNTIF(Risikoliste!$O:$O,5*('Risikomatrix VOR Maßnahme'!E$7-1)+'Risikomatrix VOR Maßnahme'!$B5))</f>
        <v/>
      </c>
      <c r="F5" s="41" t="str">
        <f>IF(COUNTIF(Risikoliste!$O:$O,5*('Risikomatrix VOR Maßnahme'!F$7-1)+'Risikomatrix VOR Maßnahme'!$B5)=0,"",COUNTIF(Risikoliste!$O:$O,5*('Risikomatrix VOR Maßnahme'!F$7-1)+'Risikomatrix VOR Maßnahme'!$B5))</f>
        <v/>
      </c>
      <c r="G5" s="45" t="str">
        <f>IF(COUNTIF(Risikoliste!$O:$O,5*('Risikomatrix VOR Maßnahme'!G$7-1)+'Risikomatrix VOR Maßnahme'!$B5)=0,"",COUNTIF(Risikoliste!$O:$O,5*('Risikomatrix VOR Maßnahme'!G$7-1)+'Risikomatrix VOR Maßnahme'!$B5))</f>
        <v/>
      </c>
      <c r="H5" s="33"/>
      <c r="I5" s="50" t="str">
        <f>"Anzahl
Klasse B: " &amp; SUM(C2,D2,D3,E3,E4,F4,F5,G5,G6)</f>
        <v>Anzahl
Klasse B: 4</v>
      </c>
    </row>
    <row r="6" spans="1:9" ht="56.25" customHeight="1" thickBot="1" x14ac:dyDescent="0.3">
      <c r="A6" s="112"/>
      <c r="B6" s="32">
        <v>1</v>
      </c>
      <c r="C6" s="46" t="str">
        <f>IF(COUNTIF(Risikoliste!$O:$O,5*('Risikomatrix VOR Maßnahme'!C$7-1)+'Risikomatrix VOR Maßnahme'!$B6)=0,"",COUNTIF(Risikoliste!$O:$O,5*('Risikomatrix VOR Maßnahme'!C$7-1)+'Risikomatrix VOR Maßnahme'!$B6))</f>
        <v/>
      </c>
      <c r="D6" s="47" t="str">
        <f>IF(COUNTIF(Risikoliste!$O:$O,5*('Risikomatrix VOR Maßnahme'!D$7-1)+'Risikomatrix VOR Maßnahme'!$B6)=0,"",COUNTIF(Risikoliste!$O:$O,5*('Risikomatrix VOR Maßnahme'!D$7-1)+'Risikomatrix VOR Maßnahme'!$B6))</f>
        <v/>
      </c>
      <c r="E6" s="47" t="str">
        <f>IF(COUNTIF(Risikoliste!$O:$O,5*('Risikomatrix VOR Maßnahme'!E$7-1)+'Risikomatrix VOR Maßnahme'!$B6)=0,"",COUNTIF(Risikoliste!$O:$O,5*('Risikomatrix VOR Maßnahme'!E$7-1)+'Risikomatrix VOR Maßnahme'!$B6))</f>
        <v/>
      </c>
      <c r="F6" s="47" t="str">
        <f>IF(COUNTIF(Risikoliste!$O:$O,5*('Risikomatrix VOR Maßnahme'!F$7-1)+'Risikomatrix VOR Maßnahme'!$B6)=0,"",COUNTIF(Risikoliste!$O:$O,5*('Risikomatrix VOR Maßnahme'!F$7-1)+'Risikomatrix VOR Maßnahme'!$B6))</f>
        <v/>
      </c>
      <c r="G6" s="48" t="str">
        <f>IF(COUNTIF(Risikoliste!$O:$O,5*('Risikomatrix VOR Maßnahme'!G$7-1)+'Risikomatrix VOR Maßnahme'!$B6)=0,"",COUNTIF(Risikoliste!$O:$O,5*('Risikomatrix VOR Maßnahme'!G$7-1)+'Risikomatrix VOR Maßnahme'!$B6))</f>
        <v/>
      </c>
      <c r="H6" s="33"/>
      <c r="I6" s="51" t="str">
        <f>"Anzahl
Klasse C: " &amp; SUM(C3:C6,D4:D6,E5:E6,F6)</f>
        <v>Anzahl
Klasse C: 1</v>
      </c>
    </row>
    <row r="7" spans="1:9" hidden="1" x14ac:dyDescent="0.25">
      <c r="A7" s="33"/>
      <c r="B7" s="32"/>
      <c r="C7" s="32">
        <v>1</v>
      </c>
      <c r="D7" s="32">
        <v>2</v>
      </c>
      <c r="E7" s="32">
        <v>3</v>
      </c>
      <c r="F7" s="32">
        <v>4</v>
      </c>
      <c r="G7" s="32">
        <v>5</v>
      </c>
      <c r="H7" s="33"/>
      <c r="I7" s="33"/>
    </row>
    <row r="8" spans="1:9" ht="37.5" customHeight="1" x14ac:dyDescent="0.25">
      <c r="A8" s="33"/>
      <c r="B8" s="32"/>
      <c r="C8" s="34">
        <v>0.1</v>
      </c>
      <c r="D8" s="34">
        <v>0.3</v>
      </c>
      <c r="E8" s="34">
        <v>0.5</v>
      </c>
      <c r="F8" s="34">
        <v>0.7</v>
      </c>
      <c r="G8" s="34">
        <v>0.9</v>
      </c>
      <c r="H8" s="33"/>
      <c r="I8" s="33"/>
    </row>
    <row r="9" spans="1:9" ht="15.75" x14ac:dyDescent="0.25">
      <c r="A9" s="33"/>
      <c r="B9" s="33"/>
      <c r="C9" s="113" t="s">
        <v>33</v>
      </c>
      <c r="D9" s="113"/>
      <c r="E9" s="113"/>
      <c r="F9" s="113"/>
      <c r="G9" s="113"/>
      <c r="H9" s="33"/>
      <c r="I9" s="33"/>
    </row>
    <row r="10" spans="1:9" x14ac:dyDescent="0.25"/>
    <row r="11" spans="1:9" x14ac:dyDescent="0.25">
      <c r="A11" s="35" t="s">
        <v>34</v>
      </c>
    </row>
    <row r="12" spans="1:9" x14ac:dyDescent="0.25">
      <c r="A12" s="31" t="s">
        <v>35</v>
      </c>
    </row>
    <row r="13" spans="1:9" x14ac:dyDescent="0.25">
      <c r="A13" s="31" t="s">
        <v>36</v>
      </c>
    </row>
    <row r="14" spans="1:9" x14ac:dyDescent="0.25">
      <c r="A14" s="31" t="s">
        <v>37</v>
      </c>
    </row>
    <row r="15" spans="1:9" x14ac:dyDescent="0.25">
      <c r="A15" s="31" t="s">
        <v>38</v>
      </c>
    </row>
    <row r="16" spans="1:9" x14ac:dyDescent="0.25">
      <c r="A16" s="31" t="s">
        <v>55</v>
      </c>
    </row>
    <row r="17" spans="1:1" x14ac:dyDescent="0.25"/>
    <row r="18" spans="1:1" x14ac:dyDescent="0.25">
      <c r="A18" s="35" t="s">
        <v>39</v>
      </c>
    </row>
    <row r="19" spans="1:1" x14ac:dyDescent="0.25">
      <c r="A19" s="31" t="s">
        <v>40</v>
      </c>
    </row>
    <row r="20" spans="1:1" x14ac:dyDescent="0.25">
      <c r="A20" s="31" t="s">
        <v>41</v>
      </c>
    </row>
    <row r="21" spans="1:1" x14ac:dyDescent="0.25">
      <c r="A21" s="31" t="s">
        <v>42</v>
      </c>
    </row>
    <row r="22" spans="1:1" x14ac:dyDescent="0.25">
      <c r="A22" s="31" t="s">
        <v>43</v>
      </c>
    </row>
    <row r="23" spans="1:1" x14ac:dyDescent="0.25">
      <c r="A23" s="31" t="s">
        <v>44</v>
      </c>
    </row>
    <row r="24" spans="1:1" x14ac:dyDescent="0.25"/>
    <row r="25" spans="1:1" x14ac:dyDescent="0.25"/>
    <row r="26" spans="1:1" x14ac:dyDescent="0.25"/>
    <row r="27" spans="1:1" x14ac:dyDescent="0.25"/>
    <row r="28" spans="1:1" x14ac:dyDescent="0.25"/>
    <row r="29" spans="1:1" x14ac:dyDescent="0.25"/>
    <row r="30" spans="1:1" x14ac:dyDescent="0.2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J30"/>
  <sheetViews>
    <sheetView showGridLines="0" zoomScaleNormal="100" workbookViewId="0">
      <selection activeCell="A31" sqref="A31:XFD1048576"/>
    </sheetView>
  </sheetViews>
  <sheetFormatPr defaultColWidth="0" defaultRowHeight="15" zeroHeight="1" x14ac:dyDescent="0.25"/>
  <cols>
    <col min="1" max="1" width="4.28515625" style="31" customWidth="1"/>
    <col min="2" max="7" width="11.42578125" style="31" customWidth="1"/>
    <col min="8" max="8" width="5.85546875" style="31" customWidth="1"/>
    <col min="9" max="9" width="17.42578125" style="31" customWidth="1"/>
    <col min="10" max="10" width="11.42578125" style="31" customWidth="1"/>
    <col min="11" max="16384" width="11.42578125" style="31" hidden="1"/>
  </cols>
  <sheetData>
    <row r="1" spans="1:9" ht="15.75" thickBot="1" x14ac:dyDescent="0.3"/>
    <row r="2" spans="1:9" ht="56.25" customHeight="1" x14ac:dyDescent="0.25">
      <c r="A2" s="112" t="s">
        <v>32</v>
      </c>
      <c r="B2" s="32">
        <v>5</v>
      </c>
      <c r="C2" s="36" t="str">
        <f>IF(COUNTIF(Risikoliste!$AG:$AG,5*('Risikomatrix NACH Maßnahme'!C$7-1)+'Risikomatrix NACH Maßnahme'!$B2)=0,"",COUNTIF(Risikoliste!$AG:$AG,5*('Risikomatrix NACH Maßnahme'!C$7-1)+'Risikomatrix NACH Maßnahme'!$B2))</f>
        <v/>
      </c>
      <c r="D2" s="36" t="str">
        <f>IF(COUNTIF(Risikoliste!$AG:$AG,5*('Risikomatrix NACH Maßnahme'!D$7-1)+'Risikomatrix NACH Maßnahme'!$B2)=0,"",COUNTIF(Risikoliste!$AG:$AG,5*('Risikomatrix NACH Maßnahme'!D$7-1)+'Risikomatrix NACH Maßnahme'!$B2))</f>
        <v/>
      </c>
      <c r="E2" s="38" t="str">
        <f>IF(COUNTIF(Risikoliste!$AG:$AG,5*('Risikomatrix NACH Maßnahme'!E$7-1)+'Risikomatrix NACH Maßnahme'!$B2)=0,"",COUNTIF(Risikoliste!$AG:$AG,5*('Risikomatrix NACH Maßnahme'!E$7-1)+'Risikomatrix NACH Maßnahme'!$B2))</f>
        <v/>
      </c>
      <c r="F2" s="38" t="str">
        <f>IF(COUNTIF(Risikoliste!$AG:$AG,5*('Risikomatrix NACH Maßnahme'!F$7-1)+'Risikomatrix NACH Maßnahme'!$B2)=0,"",COUNTIF(Risikoliste!$AG:$AG,5*('Risikomatrix NACH Maßnahme'!F$7-1)+'Risikomatrix NACH Maßnahme'!$B2))</f>
        <v/>
      </c>
      <c r="G2" s="39" t="str">
        <f>IF(COUNTIF(Risikoliste!$AG:$AG,5*('Risikomatrix NACH Maßnahme'!G$7-1)+'Risikomatrix NACH Maßnahme'!$B2)=0,"",COUNTIF(Risikoliste!$AG:$AG,5*('Risikomatrix NACH Maßnahme'!G$7-1)+'Risikomatrix NACH Maßnahme'!$B2))</f>
        <v/>
      </c>
      <c r="H2" s="33"/>
      <c r="I2" s="33"/>
    </row>
    <row r="3" spans="1:9" ht="56.25" customHeight="1" thickBot="1" x14ac:dyDescent="0.3">
      <c r="A3" s="112"/>
      <c r="B3" s="32">
        <v>4</v>
      </c>
      <c r="C3" s="40" t="str">
        <f>IF(COUNTIF(Risikoliste!$AG:$AG,5*('Risikomatrix NACH Maßnahme'!C$7-1)+'Risikomatrix NACH Maßnahme'!$B3)=0,"",COUNTIF(Risikoliste!$AG:$AG,5*('Risikomatrix NACH Maßnahme'!C$7-1)+'Risikomatrix NACH Maßnahme'!$B3))</f>
        <v/>
      </c>
      <c r="D3" s="41" t="str">
        <f>IF(COUNTIF(Risikoliste!$AG:$AG,5*('Risikomatrix NACH Maßnahme'!D$7-1)+'Risikomatrix NACH Maßnahme'!$B3)=0,"",COUNTIF(Risikoliste!$AG:$AG,5*('Risikomatrix NACH Maßnahme'!D$7-1)+'Risikomatrix NACH Maßnahme'!$B3))</f>
        <v/>
      </c>
      <c r="E3" s="41" t="str">
        <f>IF(COUNTIF(Risikoliste!$AG:$AG,5*('Risikomatrix NACH Maßnahme'!E$7-1)+'Risikomatrix NACH Maßnahme'!$B3)=0,"",COUNTIF(Risikoliste!$AG:$AG,5*('Risikomatrix NACH Maßnahme'!E$7-1)+'Risikomatrix NACH Maßnahme'!$B3))</f>
        <v/>
      </c>
      <c r="F3" s="42" t="str">
        <f>IF(COUNTIF(Risikoliste!$AG:$AG,5*('Risikomatrix NACH Maßnahme'!F$7-1)+'Risikomatrix NACH Maßnahme'!$B3)=0,"",COUNTIF(Risikoliste!$AG:$AG,5*('Risikomatrix NACH Maßnahme'!F$7-1)+'Risikomatrix NACH Maßnahme'!$B3))</f>
        <v/>
      </c>
      <c r="G3" s="43" t="str">
        <f>IF(COUNTIF(Risikoliste!$AG:$AG,5*('Risikomatrix NACH Maßnahme'!G$7-1)+'Risikomatrix NACH Maßnahme'!$B3)=0,"",COUNTIF(Risikoliste!$AG:$AG,5*('Risikomatrix NACH Maßnahme'!G$7-1)+'Risikomatrix NACH Maßnahme'!$B3))</f>
        <v/>
      </c>
      <c r="H3" s="33"/>
      <c r="I3" s="33"/>
    </row>
    <row r="4" spans="1:9" ht="56.25" customHeight="1" x14ac:dyDescent="0.25">
      <c r="A4" s="112"/>
      <c r="B4" s="32">
        <v>3</v>
      </c>
      <c r="C4" s="40">
        <f>IF(COUNTIF(Risikoliste!$AG:$AG,5*('Risikomatrix NACH Maßnahme'!C$7-1)+'Risikomatrix NACH Maßnahme'!$B4)=0,"",COUNTIF(Risikoliste!$AG:$AG,5*('Risikomatrix NACH Maßnahme'!C$7-1)+'Risikomatrix NACH Maßnahme'!$B4))</f>
        <v>3</v>
      </c>
      <c r="D4" s="44">
        <f>IF(COUNTIF(Risikoliste!$AG:$AG,5*('Risikomatrix NACH Maßnahme'!D$7-1)+'Risikomatrix NACH Maßnahme'!$B4)=0,"",COUNTIF(Risikoliste!$AG:$AG,5*('Risikomatrix NACH Maßnahme'!D$7-1)+'Risikomatrix NACH Maßnahme'!$B4))</f>
        <v>1</v>
      </c>
      <c r="E4" s="41" t="str">
        <f>IF(COUNTIF(Risikoliste!$AG:$AG,5*('Risikomatrix NACH Maßnahme'!E$7-1)+'Risikomatrix NACH Maßnahme'!$B4)=0,"",COUNTIF(Risikoliste!$AG:$AG,5*('Risikomatrix NACH Maßnahme'!E$7-1)+'Risikomatrix NACH Maßnahme'!$B4))</f>
        <v/>
      </c>
      <c r="F4" s="41" t="str">
        <f>IF(COUNTIF(Risikoliste!$AG:$AG,5*('Risikomatrix NACH Maßnahme'!F$7-1)+'Risikomatrix NACH Maßnahme'!$B4)=0,"",COUNTIF(Risikoliste!$AG:$AG,5*('Risikomatrix NACH Maßnahme'!F$7-1)+'Risikomatrix NACH Maßnahme'!$B4))</f>
        <v/>
      </c>
      <c r="G4" s="43" t="str">
        <f>IF(COUNTIF(Risikoliste!$AG:$AG,5*('Risikomatrix NACH Maßnahme'!G$7-1)+'Risikomatrix NACH Maßnahme'!$B4)=0,"",COUNTIF(Risikoliste!$AG:$AG,5*('Risikomatrix NACH Maßnahme'!G$7-1)+'Risikomatrix NACH Maßnahme'!$B4))</f>
        <v/>
      </c>
      <c r="H4" s="33"/>
      <c r="I4" s="49" t="str">
        <f>"Anzahl
Klasse A: " &amp; SUM(E2,F2,G2,F3,G3,G4)</f>
        <v>Anzahl
Klasse A: 0</v>
      </c>
    </row>
    <row r="5" spans="1:9" ht="56.25" customHeight="1" x14ac:dyDescent="0.25">
      <c r="A5" s="112"/>
      <c r="B5" s="32">
        <v>2</v>
      </c>
      <c r="C5" s="40" t="str">
        <f>IF(COUNTIF(Risikoliste!$AG:$AG,5*('Risikomatrix NACH Maßnahme'!C$7-1)+'Risikomatrix NACH Maßnahme'!$B5)=0,"",COUNTIF(Risikoliste!$AG:$AG,5*('Risikomatrix NACH Maßnahme'!C$7-1)+'Risikomatrix NACH Maßnahme'!$B5))</f>
        <v/>
      </c>
      <c r="D5" s="44">
        <f>IF(COUNTIF(Risikoliste!$AG:$AG,5*('Risikomatrix NACH Maßnahme'!D$7-1)+'Risikomatrix NACH Maßnahme'!$B5)=0,"",COUNTIF(Risikoliste!$AG:$AG,5*('Risikomatrix NACH Maßnahme'!D$7-1)+'Risikomatrix NACH Maßnahme'!$B5))</f>
        <v>2</v>
      </c>
      <c r="E5" s="44" t="str">
        <f>IF(COUNTIF(Risikoliste!$AG:$AG,5*('Risikomatrix NACH Maßnahme'!E$7-1)+'Risikomatrix NACH Maßnahme'!$B5)=0,"",COUNTIF(Risikoliste!$AG:$AG,5*('Risikomatrix NACH Maßnahme'!E$7-1)+'Risikomatrix NACH Maßnahme'!$B5))</f>
        <v/>
      </c>
      <c r="F5" s="41" t="str">
        <f>IF(COUNTIF(Risikoliste!$AG:$AG,5*('Risikomatrix NACH Maßnahme'!F$7-1)+'Risikomatrix NACH Maßnahme'!$B5)=0,"",COUNTIF(Risikoliste!$AG:$AG,5*('Risikomatrix NACH Maßnahme'!F$7-1)+'Risikomatrix NACH Maßnahme'!$B5))</f>
        <v/>
      </c>
      <c r="G5" s="45" t="str">
        <f>IF(COUNTIF(Risikoliste!$AG:$AG,5*('Risikomatrix NACH Maßnahme'!G$7-1)+'Risikomatrix NACH Maßnahme'!$B5)=0,"",COUNTIF(Risikoliste!$AG:$AG,5*('Risikomatrix NACH Maßnahme'!G$7-1)+'Risikomatrix NACH Maßnahme'!$B5))</f>
        <v/>
      </c>
      <c r="H5" s="33"/>
      <c r="I5" s="50" t="str">
        <f>"Anzahl
Klasse B: " &amp; SUM(C2,D2,D3,E3,E4,F4,F5,G5,G6)</f>
        <v>Anzahl
Klasse B: 0</v>
      </c>
    </row>
    <row r="6" spans="1:9" ht="56.25" customHeight="1" thickBot="1" x14ac:dyDescent="0.3">
      <c r="A6" s="112"/>
      <c r="B6" s="32">
        <v>1</v>
      </c>
      <c r="C6" s="46" t="str">
        <f>IF(COUNTIF(Risikoliste!$AG:$AG,5*('Risikomatrix NACH Maßnahme'!C$7-1)+'Risikomatrix NACH Maßnahme'!$B6)=0,"",COUNTIF(Risikoliste!$AG:$AG,5*('Risikomatrix NACH Maßnahme'!C$7-1)+'Risikomatrix NACH Maßnahme'!$B6))</f>
        <v/>
      </c>
      <c r="D6" s="47" t="str">
        <f>IF(COUNTIF(Risikoliste!$AG:$AG,5*('Risikomatrix NACH Maßnahme'!D$7-1)+'Risikomatrix NACH Maßnahme'!$B6)=0,"",COUNTIF(Risikoliste!$AG:$AG,5*('Risikomatrix NACH Maßnahme'!D$7-1)+'Risikomatrix NACH Maßnahme'!$B6))</f>
        <v/>
      </c>
      <c r="E6" s="47">
        <f>IF(COUNTIF(Risikoliste!$AG:$AG,5*('Risikomatrix NACH Maßnahme'!E$7-1)+'Risikomatrix NACH Maßnahme'!$B6)=0,"",COUNTIF(Risikoliste!$AG:$AG,5*('Risikomatrix NACH Maßnahme'!E$7-1)+'Risikomatrix NACH Maßnahme'!$B6))</f>
        <v>1</v>
      </c>
      <c r="F6" s="47" t="str">
        <f>IF(COUNTIF(Risikoliste!$AG:$AG,5*('Risikomatrix NACH Maßnahme'!F$7-1)+'Risikomatrix NACH Maßnahme'!$B6)=0,"",COUNTIF(Risikoliste!$AG:$AG,5*('Risikomatrix NACH Maßnahme'!F$7-1)+'Risikomatrix NACH Maßnahme'!$B6))</f>
        <v/>
      </c>
      <c r="G6" s="48" t="str">
        <f>IF(COUNTIF(Risikoliste!$AG:$AG,5*('Risikomatrix NACH Maßnahme'!G$7-1)+'Risikomatrix NACH Maßnahme'!$B6)=0,"",COUNTIF(Risikoliste!$AG:$AG,5*('Risikomatrix NACH Maßnahme'!G$7-1)+'Risikomatrix NACH Maßnahme'!$B6))</f>
        <v/>
      </c>
      <c r="H6" s="33"/>
      <c r="I6" s="51" t="str">
        <f>"Anzahl
Klasse C: " &amp; SUM(C3:C6,D4:D6,E5:E6,F6)</f>
        <v>Anzahl
Klasse C: 7</v>
      </c>
    </row>
    <row r="7" spans="1:9" hidden="1" x14ac:dyDescent="0.25">
      <c r="A7" s="33"/>
      <c r="B7" s="32"/>
      <c r="C7" s="32">
        <v>1</v>
      </c>
      <c r="D7" s="32">
        <v>2</v>
      </c>
      <c r="E7" s="32">
        <v>3</v>
      </c>
      <c r="F7" s="32">
        <v>4</v>
      </c>
      <c r="G7" s="32">
        <v>5</v>
      </c>
      <c r="H7" s="33"/>
      <c r="I7" s="33"/>
    </row>
    <row r="8" spans="1:9" ht="37.5" customHeight="1" x14ac:dyDescent="0.25">
      <c r="A8" s="33"/>
      <c r="B8" s="32"/>
      <c r="C8" s="34">
        <v>0.1</v>
      </c>
      <c r="D8" s="34">
        <v>0.3</v>
      </c>
      <c r="E8" s="34">
        <v>0.5</v>
      </c>
      <c r="F8" s="34">
        <v>0.7</v>
      </c>
      <c r="G8" s="34">
        <v>0.9</v>
      </c>
      <c r="H8" s="33"/>
      <c r="I8" s="33"/>
    </row>
    <row r="9" spans="1:9" ht="15.75" x14ac:dyDescent="0.25">
      <c r="A9" s="33"/>
      <c r="B9" s="33"/>
      <c r="C9" s="113" t="s">
        <v>33</v>
      </c>
      <c r="D9" s="113"/>
      <c r="E9" s="113"/>
      <c r="F9" s="113"/>
      <c r="G9" s="113"/>
      <c r="H9" s="33"/>
      <c r="I9" s="33"/>
    </row>
    <row r="10" spans="1:9" x14ac:dyDescent="0.25"/>
    <row r="11" spans="1:9" x14ac:dyDescent="0.25">
      <c r="A11" s="35" t="s">
        <v>34</v>
      </c>
    </row>
    <row r="12" spans="1:9" x14ac:dyDescent="0.25">
      <c r="A12" s="31" t="s">
        <v>35</v>
      </c>
    </row>
    <row r="13" spans="1:9" x14ac:dyDescent="0.25">
      <c r="A13" s="31" t="s">
        <v>36</v>
      </c>
    </row>
    <row r="14" spans="1:9" x14ac:dyDescent="0.25">
      <c r="A14" s="31" t="s">
        <v>37</v>
      </c>
    </row>
    <row r="15" spans="1:9" x14ac:dyDescent="0.25">
      <c r="A15" s="31" t="s">
        <v>38</v>
      </c>
    </row>
    <row r="16" spans="1:9" x14ac:dyDescent="0.25">
      <c r="A16" s="31" t="s">
        <v>55</v>
      </c>
    </row>
    <row r="17" spans="1:1" x14ac:dyDescent="0.25"/>
    <row r="18" spans="1:1" x14ac:dyDescent="0.25">
      <c r="A18" s="35" t="s">
        <v>39</v>
      </c>
    </row>
    <row r="19" spans="1:1" x14ac:dyDescent="0.25">
      <c r="A19" s="31" t="s">
        <v>40</v>
      </c>
    </row>
    <row r="20" spans="1:1" x14ac:dyDescent="0.25">
      <c r="A20" s="31" t="s">
        <v>41</v>
      </c>
    </row>
    <row r="21" spans="1:1" x14ac:dyDescent="0.25">
      <c r="A21" s="31" t="s">
        <v>42</v>
      </c>
    </row>
    <row r="22" spans="1:1" x14ac:dyDescent="0.25">
      <c r="A22" s="31" t="s">
        <v>43</v>
      </c>
    </row>
    <row r="23" spans="1:1" x14ac:dyDescent="0.25">
      <c r="A23" s="31" t="s">
        <v>44</v>
      </c>
    </row>
    <row r="24" spans="1:1" x14ac:dyDescent="0.25"/>
    <row r="25" spans="1:1" x14ac:dyDescent="0.25"/>
    <row r="26" spans="1:1" x14ac:dyDescent="0.25"/>
    <row r="27" spans="1:1" x14ac:dyDescent="0.25"/>
    <row r="28" spans="1:1" x14ac:dyDescent="0.25"/>
    <row r="29" spans="1:1" x14ac:dyDescent="0.25"/>
    <row r="30" spans="1:1" x14ac:dyDescent="0.2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31"/>
  <sheetViews>
    <sheetView showGridLines="0" zoomScaleNormal="100" workbookViewId="0">
      <selection activeCell="F22" sqref="F22"/>
    </sheetView>
  </sheetViews>
  <sheetFormatPr defaultColWidth="0" defaultRowHeight="15" zeroHeight="1" x14ac:dyDescent="0.2"/>
  <cols>
    <col min="1" max="1" width="3.28515625" style="1" customWidth="1"/>
    <col min="2" max="2" width="5.42578125" style="1" customWidth="1"/>
    <col min="3" max="8" width="19.42578125" style="1" customWidth="1"/>
    <col min="9" max="9" width="3.28515625" style="1" customWidth="1"/>
    <col min="10" max="16384" width="24.7109375" style="1" hidden="1"/>
  </cols>
  <sheetData>
    <row r="1" spans="2:8" ht="21.75" customHeight="1" x14ac:dyDescent="0.2">
      <c r="B1" s="116" t="s">
        <v>169</v>
      </c>
      <c r="C1" s="116"/>
      <c r="D1" s="116"/>
      <c r="E1" s="116"/>
      <c r="F1" s="116"/>
      <c r="G1" s="116"/>
      <c r="H1" s="116"/>
    </row>
    <row r="2" spans="2:8" x14ac:dyDescent="0.2"/>
    <row r="3" spans="2:8" x14ac:dyDescent="0.2">
      <c r="B3" s="117" t="s">
        <v>4</v>
      </c>
      <c r="C3" s="117"/>
      <c r="D3" s="117"/>
      <c r="E3" s="117"/>
      <c r="F3" s="117"/>
      <c r="G3" s="117"/>
      <c r="H3" s="117"/>
    </row>
    <row r="4" spans="2:8" ht="60" customHeight="1" x14ac:dyDescent="0.2">
      <c r="B4" s="26" t="s">
        <v>0</v>
      </c>
      <c r="C4" s="87" t="s">
        <v>84</v>
      </c>
      <c r="D4" s="88"/>
      <c r="E4" s="88"/>
      <c r="F4" s="88"/>
      <c r="G4" s="88"/>
      <c r="H4" s="88"/>
    </row>
    <row r="5" spans="2:8" ht="109.5" customHeight="1" x14ac:dyDescent="0.2">
      <c r="B5" s="26" t="s">
        <v>0</v>
      </c>
      <c r="C5" s="87" t="s">
        <v>77</v>
      </c>
      <c r="D5" s="87"/>
      <c r="E5" s="87"/>
      <c r="F5" s="87"/>
      <c r="G5" s="87"/>
      <c r="H5" s="87"/>
    </row>
    <row r="6" spans="2:8" ht="48" customHeight="1" x14ac:dyDescent="0.2">
      <c r="B6" s="26" t="s">
        <v>0</v>
      </c>
      <c r="C6" s="114" t="s">
        <v>78</v>
      </c>
      <c r="D6" s="115"/>
      <c r="E6" s="115"/>
      <c r="F6" s="115"/>
      <c r="G6" s="115"/>
      <c r="H6" s="115"/>
    </row>
    <row r="7" spans="2:8" ht="110.25" customHeight="1" x14ac:dyDescent="0.2">
      <c r="B7" s="26" t="s">
        <v>0</v>
      </c>
      <c r="C7" s="87" t="s">
        <v>79</v>
      </c>
      <c r="D7" s="87"/>
      <c r="E7" s="87"/>
      <c r="F7" s="87"/>
      <c r="G7" s="87"/>
      <c r="H7" s="87"/>
    </row>
    <row r="8" spans="2:8" x14ac:dyDescent="0.2"/>
    <row r="9" spans="2:8" x14ac:dyDescent="0.25">
      <c r="C9" s="27" t="s">
        <v>23</v>
      </c>
      <c r="D9" s="27" t="s">
        <v>32</v>
      </c>
      <c r="E9" s="27" t="s">
        <v>93</v>
      </c>
      <c r="F9" s="27" t="s">
        <v>15</v>
      </c>
      <c r="G9" s="27" t="s">
        <v>45</v>
      </c>
      <c r="H9" s="52"/>
    </row>
    <row r="10" spans="2:8" x14ac:dyDescent="0.25">
      <c r="C10" s="28">
        <v>0.1</v>
      </c>
      <c r="D10" s="29">
        <v>1</v>
      </c>
      <c r="E10" s="29" t="s">
        <v>94</v>
      </c>
      <c r="F10" s="29" t="s">
        <v>46</v>
      </c>
      <c r="G10" s="29" t="s">
        <v>47</v>
      </c>
    </row>
    <row r="11" spans="2:8" x14ac:dyDescent="0.25">
      <c r="C11" s="28">
        <v>0.3</v>
      </c>
      <c r="D11" s="29">
        <v>2</v>
      </c>
      <c r="E11" s="29" t="s">
        <v>95</v>
      </c>
      <c r="F11" s="29" t="s">
        <v>48</v>
      </c>
      <c r="G11" s="29" t="s">
        <v>49</v>
      </c>
    </row>
    <row r="12" spans="2:8" x14ac:dyDescent="0.25">
      <c r="C12" s="28">
        <v>0.5</v>
      </c>
      <c r="D12" s="29">
        <v>3</v>
      </c>
      <c r="E12" s="29"/>
      <c r="F12" s="29" t="s">
        <v>50</v>
      </c>
      <c r="G12" s="29" t="s">
        <v>51</v>
      </c>
    </row>
    <row r="13" spans="2:8" x14ac:dyDescent="0.25">
      <c r="C13" s="28">
        <v>0.7</v>
      </c>
      <c r="D13" s="29">
        <v>4</v>
      </c>
      <c r="E13" s="29"/>
      <c r="F13" s="29" t="s">
        <v>52</v>
      </c>
      <c r="G13" s="29" t="s">
        <v>53</v>
      </c>
    </row>
    <row r="14" spans="2:8" x14ac:dyDescent="0.25">
      <c r="C14" s="28">
        <v>0.9</v>
      </c>
      <c r="D14" s="29">
        <v>5</v>
      </c>
      <c r="E14" s="29"/>
      <c r="F14" s="29" t="s">
        <v>54</v>
      </c>
      <c r="G14" s="16"/>
    </row>
    <row r="15" spans="2:8" x14ac:dyDescent="0.25">
      <c r="B15" s="29"/>
      <c r="C15" s="29"/>
      <c r="D15" s="29"/>
      <c r="E15" s="16"/>
      <c r="F15" s="29" t="s">
        <v>56</v>
      </c>
    </row>
    <row r="16" spans="2:8" x14ac:dyDescent="0.25">
      <c r="B16" s="29"/>
      <c r="C16" s="29"/>
      <c r="D16" s="29"/>
      <c r="E16" s="29"/>
      <c r="F16" s="16"/>
    </row>
    <row r="17" spans="2:6" x14ac:dyDescent="0.25">
      <c r="B17" s="29"/>
      <c r="C17" s="29"/>
      <c r="D17" s="29"/>
      <c r="E17" s="29"/>
      <c r="F17" s="16"/>
    </row>
    <row r="18" spans="2:6" x14ac:dyDescent="0.25">
      <c r="B18" s="29"/>
      <c r="C18" s="29"/>
      <c r="D18" s="29"/>
      <c r="E18" s="29"/>
      <c r="F18" s="16"/>
    </row>
    <row r="19" spans="2:6" x14ac:dyDescent="0.25">
      <c r="B19" s="29"/>
      <c r="C19" s="29"/>
      <c r="D19" s="29"/>
      <c r="E19" s="29"/>
      <c r="F19" s="16"/>
    </row>
    <row r="20" spans="2:6" x14ac:dyDescent="0.25">
      <c r="C20" s="16"/>
      <c r="D20" s="16"/>
      <c r="E20" s="16"/>
      <c r="F20" s="16"/>
    </row>
    <row r="21" spans="2:6" x14ac:dyDescent="0.25">
      <c r="B21" s="16"/>
      <c r="C21" s="16"/>
      <c r="D21" s="16"/>
      <c r="E21" s="16"/>
      <c r="F21" s="16"/>
    </row>
    <row r="22" spans="2:6" x14ac:dyDescent="0.25">
      <c r="B22" s="16"/>
      <c r="C22" s="16"/>
      <c r="D22" s="16"/>
      <c r="E22" s="16"/>
      <c r="F22" s="16"/>
    </row>
    <row r="23" spans="2:6" x14ac:dyDescent="0.25">
      <c r="B23" s="16"/>
      <c r="C23" s="16"/>
      <c r="D23" s="16"/>
      <c r="E23" s="16"/>
      <c r="F23" s="16"/>
    </row>
    <row r="24" spans="2:6" x14ac:dyDescent="0.25">
      <c r="B24" s="16"/>
      <c r="C24" s="16"/>
      <c r="D24" s="16"/>
      <c r="E24" s="16"/>
      <c r="F24" s="16"/>
    </row>
    <row r="25" spans="2:6" x14ac:dyDescent="0.25">
      <c r="B25" s="16"/>
      <c r="C25" s="16"/>
      <c r="D25" s="16"/>
      <c r="E25" s="16"/>
      <c r="F25" s="16"/>
    </row>
    <row r="26" spans="2:6" x14ac:dyDescent="0.25">
      <c r="B26" s="16"/>
      <c r="C26" s="16"/>
      <c r="D26" s="16"/>
      <c r="E26" s="16"/>
      <c r="F26" s="16"/>
    </row>
    <row r="27" spans="2:6" x14ac:dyDescent="0.25">
      <c r="B27" s="16"/>
      <c r="C27" s="16"/>
      <c r="D27" s="16"/>
      <c r="E27" s="16"/>
      <c r="F27" s="16"/>
    </row>
    <row r="28" spans="2:6" x14ac:dyDescent="0.25">
      <c r="B28" s="16"/>
      <c r="C28" s="16"/>
      <c r="D28" s="16"/>
      <c r="E28" s="16"/>
      <c r="F28" s="16"/>
    </row>
    <row r="29" spans="2:6" x14ac:dyDescent="0.25">
      <c r="B29" s="16"/>
      <c r="C29" s="16"/>
      <c r="D29" s="16"/>
      <c r="E29" s="16"/>
      <c r="F29" s="16"/>
    </row>
    <row r="30" spans="2:6" x14ac:dyDescent="0.25">
      <c r="B30" s="16"/>
      <c r="C30" s="16"/>
      <c r="D30" s="16"/>
      <c r="E30" s="16"/>
      <c r="F30" s="16"/>
    </row>
    <row r="31" spans="2:6" hidden="1" x14ac:dyDescent="0.25">
      <c r="B31" s="16"/>
      <c r="C31" s="16"/>
      <c r="D31" s="16"/>
      <c r="E31" s="16"/>
      <c r="F31" s="16"/>
    </row>
  </sheetData>
  <mergeCells count="6">
    <mergeCell ref="C5:H5"/>
    <mergeCell ref="C6:H6"/>
    <mergeCell ref="C4:H4"/>
    <mergeCell ref="B1:H1"/>
    <mergeCell ref="C7:H7"/>
    <mergeCell ref="B3:H3"/>
  </mergeCells>
  <phoneticPr fontId="1" type="noConversion"/>
  <dataValidations count="2">
    <dataValidation type="list" allowBlank="1" showInputMessage="1" showErrorMessage="1" sqref="K7" xr:uid="{00000000-0002-0000-0500-000000000000}">
      <formula1>"Status"</formula1>
    </dataValidation>
    <dataValidation type="list" allowBlank="1" showInputMessage="1" showErrorMessage="1" sqref="J7" xr:uid="{00000000-0002-0000-0500-000001000000}">
      <formula1>Status</formula1>
    </dataValidation>
  </dataValidations>
  <pageMargins left="0.70866141732283472" right="0.70866141732283472" top="0.74803149606299213" bottom="1.1811023622047245" header="0.19685039370078741" footer="0.19685039370078741"/>
  <pageSetup paperSize="9" scale="91" orientation="landscape" r:id="rId1"/>
  <headerFooter alignWithMargins="0">
    <oddHeader xml:space="preserve">&amp;R
</oddHeader>
    <oddFooter xml:space="preserve">&amp;L&amp;G&amp;R&amp;"-,Fett"&amp;8Bundesverwaltungsamt&amp;"-,Standard" – Der zentrale Dienstleister des Bundes | &amp;D | Seite &amp;P
</oddFooter>
  </headerFooter>
  <legacyDrawingHF r:id="rId2"/>
</worksheet>
</file>

<file path=docMetadata/LabelInfo.xml><?xml version="1.0" encoding="utf-8"?>
<clbl:labelList xmlns:clbl="http://schemas.microsoft.com/office/2020/mipLabelMetadata">
  <clbl:label id="{2e1fccfb-80ca-4fe1-a574-1516544edb53}" enabled="1" method="Standard" siteId="{364e5b87-c1c7-420d-9bee-c35d19b557a1}"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Deckblatt</vt:lpstr>
      <vt:lpstr>Hinweise</vt:lpstr>
      <vt:lpstr>Risikoliste</vt:lpstr>
      <vt:lpstr>Risikomatrix VOR Maßnahme</vt:lpstr>
      <vt:lpstr>Risikomatrix NACH Maßnahme</vt:lpstr>
      <vt:lpstr>(Stammdaten)</vt:lpstr>
      <vt:lpstr>Abnahmestatus</vt:lpstr>
      <vt:lpstr>Auswirkung</vt:lpstr>
      <vt:lpstr>janein</vt:lpstr>
      <vt:lpstr>'(Stammdaten)'!Print_Area</vt:lpstr>
      <vt:lpstr>Deckblatt!Print_Area</vt:lpstr>
      <vt:lpstr>Risikostatus</vt:lpstr>
      <vt:lpstr>Status</vt:lpstr>
      <vt:lpstr>Teilprojekt</vt:lpstr>
      <vt:lpstr>Thema</vt:lpstr>
      <vt:lpstr>Verpflichtung</vt:lpstr>
      <vt:lpstr>Vertragsstatus</vt:lpstr>
      <vt:lpstr>Wahrscheinlichkeit</vt:lpstr>
    </vt:vector>
  </TitlesOfParts>
  <Company>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 (Groß-)PM</dc:creator>
  <cp:lastModifiedBy>Ambühl Dany, INI-CIT-MWS-BSV</cp:lastModifiedBy>
  <cp:lastPrinted>2019-12-18T16:20:34Z</cp:lastPrinted>
  <dcterms:created xsi:type="dcterms:W3CDTF">2009-09-09T09:05:31Z</dcterms:created>
  <dcterms:modified xsi:type="dcterms:W3CDTF">2024-05-20T20:56:43Z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7819&quot;&gt;&lt;version val=&quot;17875&quot;/&gt;&lt;CXlWorkbook id=&quot;1&quot;&gt;&lt;m_cxllink/&gt;&lt;/CXlWorkbook&gt;&lt;/root&gt;">
    <vt:bool>false</vt:bool>
  </property>
</Properties>
</file>